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OCT - Shift - 2026\LISTING\after 15 oct\OpenCart\"/>
    </mc:Choice>
  </mc:AlternateContent>
  <xr:revisionPtr revIDLastSave="0" documentId="13_ncr:1_{98F28FD2-7BF4-4AEF-84D9-8DD5FDCD0BE7}" xr6:coauthVersionLast="47" xr6:coauthVersionMax="47" xr10:uidLastSave="{00000000-0000-0000-0000-000000000000}"/>
  <bookViews>
    <workbookView xWindow="-120" yWindow="-120" windowWidth="20730" windowHeight="11040" xr2:uid="{71549AC3-A888-46AE-BF0B-D29CED0AEC10}"/>
  </bookViews>
  <sheets>
    <sheet name="RTM" sheetId="1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2" i="1" l="1"/>
  <c r="H32" i="1"/>
  <c r="E32" i="1"/>
  <c r="D32" i="1"/>
  <c r="C32" i="1"/>
  <c r="B32" i="1"/>
  <c r="A32" i="1"/>
  <c r="G32" i="1" s="1"/>
  <c r="J31" i="1"/>
  <c r="E31" i="1"/>
  <c r="D31" i="1"/>
  <c r="C31" i="1"/>
  <c r="B31" i="1"/>
  <c r="A31" i="1"/>
  <c r="I30" i="1"/>
  <c r="H30" i="1"/>
  <c r="E30" i="1"/>
  <c r="D30" i="1"/>
  <c r="C30" i="1"/>
  <c r="B30" i="1"/>
  <c r="A30" i="1"/>
  <c r="G30" i="1" s="1"/>
  <c r="E29" i="1"/>
  <c r="D29" i="1"/>
  <c r="C29" i="1"/>
  <c r="B29" i="1"/>
  <c r="A29" i="1"/>
  <c r="I28" i="1"/>
  <c r="H28" i="1"/>
  <c r="E28" i="1"/>
  <c r="D28" i="1"/>
  <c r="C28" i="1"/>
  <c r="B28" i="1"/>
  <c r="A28" i="1"/>
  <c r="G28" i="1" s="1"/>
  <c r="E27" i="1"/>
  <c r="D27" i="1"/>
  <c r="C27" i="1"/>
  <c r="B27" i="1"/>
  <c r="A27" i="1"/>
  <c r="I26" i="1"/>
  <c r="H26" i="1"/>
  <c r="E26" i="1"/>
  <c r="D26" i="1"/>
  <c r="C26" i="1"/>
  <c r="B26" i="1"/>
  <c r="A26" i="1"/>
  <c r="G26" i="1" s="1"/>
  <c r="E25" i="1"/>
  <c r="D25" i="1"/>
  <c r="C25" i="1"/>
  <c r="B25" i="1"/>
  <c r="A25" i="1"/>
  <c r="J25" i="1" s="1"/>
  <c r="I24" i="1"/>
  <c r="H24" i="1"/>
  <c r="E24" i="1"/>
  <c r="D24" i="1"/>
  <c r="C24" i="1"/>
  <c r="B24" i="1"/>
  <c r="A24" i="1"/>
  <c r="G24" i="1" s="1"/>
  <c r="J23" i="1"/>
  <c r="E23" i="1"/>
  <c r="D23" i="1"/>
  <c r="C23" i="1"/>
  <c r="B23" i="1"/>
  <c r="A23" i="1"/>
  <c r="I22" i="1"/>
  <c r="H22" i="1"/>
  <c r="E22" i="1"/>
  <c r="D22" i="1"/>
  <c r="C22" i="1"/>
  <c r="B22" i="1"/>
  <c r="A22" i="1"/>
  <c r="G22" i="1" s="1"/>
  <c r="J21" i="1"/>
  <c r="E21" i="1"/>
  <c r="D21" i="1"/>
  <c r="C21" i="1"/>
  <c r="B21" i="1"/>
  <c r="A21" i="1"/>
  <c r="I20" i="1"/>
  <c r="H20" i="1"/>
  <c r="E20" i="1"/>
  <c r="D20" i="1"/>
  <c r="C20" i="1"/>
  <c r="B20" i="1"/>
  <c r="A20" i="1"/>
  <c r="G20" i="1" s="1"/>
  <c r="E19" i="1"/>
  <c r="D19" i="1"/>
  <c r="C19" i="1"/>
  <c r="B19" i="1"/>
  <c r="A19" i="1"/>
  <c r="I18" i="1"/>
  <c r="H18" i="1"/>
  <c r="E18" i="1"/>
  <c r="D18" i="1"/>
  <c r="C18" i="1"/>
  <c r="B18" i="1"/>
  <c r="A18" i="1"/>
  <c r="G18" i="1" s="1"/>
  <c r="J17" i="1"/>
  <c r="G17" i="1"/>
  <c r="E17" i="1"/>
  <c r="D17" i="1"/>
  <c r="C17" i="1"/>
  <c r="B17" i="1"/>
  <c r="A17" i="1"/>
  <c r="I16" i="1"/>
  <c r="H16" i="1"/>
  <c r="E16" i="1"/>
  <c r="D16" i="1"/>
  <c r="C16" i="1"/>
  <c r="B16" i="1"/>
  <c r="A16" i="1"/>
  <c r="G16" i="1" s="1"/>
  <c r="G15" i="1"/>
  <c r="E15" i="1"/>
  <c r="D15" i="1"/>
  <c r="C15" i="1"/>
  <c r="B15" i="1"/>
  <c r="A15" i="1"/>
  <c r="J15" i="1" s="1"/>
  <c r="I14" i="1"/>
  <c r="H14" i="1"/>
  <c r="E14" i="1"/>
  <c r="D14" i="1"/>
  <c r="C14" i="1"/>
  <c r="B14" i="1"/>
  <c r="A14" i="1"/>
  <c r="G14" i="1" s="1"/>
  <c r="E13" i="1"/>
  <c r="D13" i="1"/>
  <c r="C13" i="1"/>
  <c r="B13" i="1"/>
  <c r="A13" i="1"/>
  <c r="J13" i="1" s="1"/>
  <c r="I12" i="1"/>
  <c r="H12" i="1"/>
  <c r="E12" i="1"/>
  <c r="D12" i="1"/>
  <c r="C12" i="1"/>
  <c r="B12" i="1"/>
  <c r="A12" i="1"/>
  <c r="G12" i="1" s="1"/>
  <c r="J11" i="1"/>
  <c r="E11" i="1"/>
  <c r="D11" i="1"/>
  <c r="C11" i="1"/>
  <c r="B11" i="1"/>
  <c r="A11" i="1"/>
  <c r="I10" i="1"/>
  <c r="H10" i="1"/>
  <c r="E10" i="1"/>
  <c r="D10" i="1"/>
  <c r="C10" i="1"/>
  <c r="B10" i="1"/>
  <c r="A10" i="1"/>
  <c r="G10" i="1" s="1"/>
  <c r="J9" i="1"/>
  <c r="G9" i="1"/>
  <c r="E9" i="1"/>
  <c r="D9" i="1"/>
  <c r="C9" i="1"/>
  <c r="B9" i="1"/>
  <c r="A9" i="1"/>
  <c r="I8" i="1"/>
  <c r="H8" i="1"/>
  <c r="E8" i="1"/>
  <c r="D8" i="1"/>
  <c r="C8" i="1"/>
  <c r="B8" i="1"/>
  <c r="A8" i="1"/>
  <c r="G8" i="1" s="1"/>
  <c r="G7" i="1"/>
  <c r="E7" i="1"/>
  <c r="D7" i="1"/>
  <c r="C7" i="1"/>
  <c r="B7" i="1"/>
  <c r="A7" i="1"/>
  <c r="J7" i="1" s="1"/>
  <c r="I6" i="1"/>
  <c r="H6" i="1"/>
  <c r="E6" i="1"/>
  <c r="D6" i="1"/>
  <c r="C6" i="1"/>
  <c r="B6" i="1"/>
  <c r="A6" i="1"/>
  <c r="G6" i="1" s="1"/>
  <c r="E5" i="1"/>
  <c r="D5" i="1"/>
  <c r="C5" i="1"/>
  <c r="B5" i="1"/>
  <c r="A5" i="1"/>
  <c r="J5" i="1" s="1"/>
  <c r="I4" i="1"/>
  <c r="H4" i="1"/>
  <c r="E4" i="1"/>
  <c r="D4" i="1"/>
  <c r="C4" i="1"/>
  <c r="B4" i="1"/>
  <c r="A4" i="1"/>
  <c r="G4" i="1" s="1"/>
  <c r="K7" i="1" l="1"/>
  <c r="G5" i="1"/>
  <c r="I11" i="1"/>
  <c r="H11" i="1"/>
  <c r="G13" i="1"/>
  <c r="I19" i="1"/>
  <c r="H19" i="1"/>
  <c r="G19" i="1"/>
  <c r="I27" i="1"/>
  <c r="H27" i="1"/>
  <c r="G27" i="1"/>
  <c r="K14" i="1"/>
  <c r="I25" i="1"/>
  <c r="H25" i="1"/>
  <c r="G25" i="1"/>
  <c r="K25" i="1" s="1"/>
  <c r="I9" i="1"/>
  <c r="K9" i="1" s="1"/>
  <c r="H9" i="1"/>
  <c r="G11" i="1"/>
  <c r="I17" i="1"/>
  <c r="K17" i="1" s="1"/>
  <c r="H17" i="1"/>
  <c r="J19" i="1"/>
  <c r="I21" i="1"/>
  <c r="H21" i="1"/>
  <c r="G21" i="1"/>
  <c r="K21" i="1" s="1"/>
  <c r="J27" i="1"/>
  <c r="I29" i="1"/>
  <c r="H29" i="1"/>
  <c r="G29" i="1"/>
  <c r="I5" i="1"/>
  <c r="H5" i="1"/>
  <c r="I13" i="1"/>
  <c r="H13" i="1"/>
  <c r="I7" i="1"/>
  <c r="H7" i="1"/>
  <c r="K8" i="1"/>
  <c r="I15" i="1"/>
  <c r="K15" i="1" s="1"/>
  <c r="H15" i="1"/>
  <c r="K20" i="1"/>
  <c r="I23" i="1"/>
  <c r="H23" i="1"/>
  <c r="G23" i="1"/>
  <c r="K28" i="1"/>
  <c r="J29" i="1"/>
  <c r="I31" i="1"/>
  <c r="H31" i="1"/>
  <c r="G31" i="1"/>
  <c r="K31" i="1" s="1"/>
  <c r="J4" i="1"/>
  <c r="K4" i="1" s="1"/>
  <c r="J6" i="1"/>
  <c r="K6" i="1" s="1"/>
  <c r="J8" i="1"/>
  <c r="J10" i="1"/>
  <c r="K10" i="1" s="1"/>
  <c r="J12" i="1"/>
  <c r="K12" i="1" s="1"/>
  <c r="J14" i="1"/>
  <c r="J16" i="1"/>
  <c r="K16" i="1" s="1"/>
  <c r="J18" i="1"/>
  <c r="K18" i="1" s="1"/>
  <c r="J20" i="1"/>
  <c r="J22" i="1"/>
  <c r="K22" i="1" s="1"/>
  <c r="J24" i="1"/>
  <c r="K24" i="1" s="1"/>
  <c r="J26" i="1"/>
  <c r="K26" i="1" s="1"/>
  <c r="J28" i="1"/>
  <c r="J30" i="1"/>
  <c r="K30" i="1" s="1"/>
  <c r="J32" i="1"/>
  <c r="K32" i="1" s="1"/>
  <c r="K23" i="1" l="1"/>
  <c r="K13" i="1"/>
  <c r="K5" i="1"/>
  <c r="K27" i="1"/>
  <c r="K19" i="1"/>
  <c r="K29" i="1"/>
  <c r="K11" i="1"/>
</calcChain>
</file>

<file path=xl/sharedStrings.xml><?xml version="1.0" encoding="utf-8"?>
<sst xmlns="http://schemas.openxmlformats.org/spreadsheetml/2006/main" count="41" uniqueCount="41">
  <si>
    <t>Requirement Traceability Matrix (RTM)</t>
  </si>
  <si>
    <t>Test Scenario ID</t>
  </si>
  <si>
    <t>Module</t>
  </si>
  <si>
    <t>Reference</t>
  </si>
  <si>
    <t>Test Scenario</t>
  </si>
  <si>
    <t>Priority</t>
  </si>
  <si>
    <t>Test Case IDs</t>
  </si>
  <si>
    <t>No. of Test Cases</t>
  </si>
  <si>
    <t>Passed</t>
  </si>
  <si>
    <t>Failed</t>
  </si>
  <si>
    <t>Not Executed</t>
  </si>
  <si>
    <t>Coverage Status</t>
  </si>
  <si>
    <t>TC-RF-01, TC-RF-02, TC-RF-03, TC-RF-04, TC-RF-05, TC-RF-06, TC-RF-07</t>
  </si>
  <si>
    <t>TC-LF-01, TC-LF-02, TC-LF-03, TC-LF-04, TC-LF-05, TC-LF-06</t>
  </si>
  <si>
    <t>TC-LO-01, TC-LO-02</t>
  </si>
  <si>
    <t>TC-FP-01, TC-FP-02, TC-FP-03, TC-FP-04, TC-FP-05</t>
  </si>
  <si>
    <t>TC-LG-01, TC-LG-02, TC-LG-03</t>
  </si>
  <si>
    <t>TC-CU-01, TC-CU-02, TC-CU-03, TC-CU-04</t>
  </si>
  <si>
    <t>TC-SP-01, TC-SP-02, TC-SP-03, TC-SP-04</t>
  </si>
  <si>
    <t>TC-PC-01, TC-PC-02, TC-PC-03, TC-PC-04, TC-PC-05</t>
  </si>
  <si>
    <t>TC-BS-01, TC-BS-02, TC-BS-03</t>
  </si>
  <si>
    <t>TC-AC-01, TC-AC-02, TC-AC-03, TC-AC-04</t>
  </si>
  <si>
    <t>TC-HW-01, TC-HW-02, TC-HW-03</t>
  </si>
  <si>
    <t>TC-HC-01, TC-HC-02, TC-HC-03, TC-HC-04</t>
  </si>
  <si>
    <t>TC-BR-01, TC-BR-02, TC-BR-03</t>
  </si>
  <si>
    <t>TC-WL-01, TC-WL-02, TC-WL-03, TC-WL-04, TC-WL-05, TC-WL-06</t>
  </si>
  <si>
    <t>TC-SC-01, TC-SC-02, TC-SC-03, TC-SC-04, TC-SC-05, TC-SC-06, TC-SC-07, TC-SC-08</t>
  </si>
  <si>
    <t>TC-CO-01, TC-CO-02, TC-CO-03, TC-CO-04, TC-CO-05, TC-CO-06, TC-CO-07, TC-CO-08, TC-CO-09, TC-CO-10, TC-CO-11, TC-CO-12, TC-CO-13</t>
  </si>
  <si>
    <t>TC-MA-01, TC-MA-02, TC-MA-03, TC-MA-04</t>
  </si>
  <si>
    <t>TC-CP-01, TC-CP-02, TC-CP-03, TC-CP-04, TC-CP-05</t>
  </si>
  <si>
    <t>TC-AB-01, TC-AB-02, TC-AB-03, TC-AB-04, TC-AB-05, TC-AB-06</t>
  </si>
  <si>
    <t>TC-MW-01, TC-MW-02, TC-MW-03</t>
  </si>
  <si>
    <t>TC-MO-01, TC-MO-02, TC-MO-03</t>
  </si>
  <si>
    <t>TC-SB-01, TC-SB-02, TC-SB-03</t>
  </si>
  <si>
    <t>TC-DL-01, TC-DL-02, TC-DL-03</t>
  </si>
  <si>
    <t>TC-RP-01, TC-RP-02, TC-RP-03, TC-RP-04</t>
  </si>
  <si>
    <t>TC-TR-01, TC-TR-02, TC-TR-03</t>
  </si>
  <si>
    <t>TC-AF-01, TC-AF-02, TC-AF-03, TC-AF-04, TC-AF-05</t>
  </si>
  <si>
    <t>TC-NS-01, TC-NS-02, TC-NS-03</t>
  </si>
  <si>
    <t>TC-NU-01, TC-NU-02, TC-NU-03</t>
  </si>
  <si>
    <t>TC-CS-01, TC-CS-02, TC-CS-03, TC-CS-04, TC-CS-05, TC-CS-06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</si>
</sst>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name val="Aptos Narrow"/>
      <charset val="1"/>
    </font>
    <font>
      <sz val="11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39988402966399123"/>
        <bgColor rgb="FFB4E5A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4">
    <dxf>
      <fill>
        <patternFill>
          <bgColor rgb="FFFFEB9C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wnloads\OCT%20-%20Shift%20-%202026\LISTING\after%2015%20oct\OpenCart_TestCases.xlsx" TargetMode="External"/><Relationship Id="rId1" Type="http://schemas.openxmlformats.org/officeDocument/2006/relationships/externalLinkPath" Target="/Downloads/OCT%20-%20Shift%20-%202026/LISTING/after%2015%20oct/OpenCart_TestC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 Information"/>
      <sheetName val="Test-Scenario"/>
      <sheetName val="Register"/>
      <sheetName val="Login"/>
      <sheetName val="Home Page"/>
      <sheetName val="Wishlist"/>
      <sheetName val="Shopping Cart"/>
      <sheetName val="Checkout"/>
      <sheetName val="Account - My Account"/>
      <sheetName val="Account - My Order"/>
      <sheetName val="Account - My Affiliate"/>
      <sheetName val="Account - Newsletter"/>
      <sheetName val="Customer Service"/>
    </sheetNames>
    <sheetDataSet>
      <sheetData sheetId="0" refreshError="1"/>
      <sheetData sheetId="1">
        <row r="8">
          <cell r="A8" t="str">
            <v>TS_01</v>
          </cell>
          <cell r="B8" t="str">
            <v>Register</v>
          </cell>
          <cell r="C8" t="str">
            <v>FRS</v>
          </cell>
          <cell r="D8" t="str">
            <v>Verify the working of Registration functionality under my account.</v>
          </cell>
          <cell r="E8" t="str">
            <v>P0</v>
          </cell>
        </row>
        <row r="9">
          <cell r="A9" t="str">
            <v>TS_02</v>
          </cell>
          <cell r="B9" t="str">
            <v>Login</v>
          </cell>
          <cell r="C9" t="str">
            <v>FRS</v>
          </cell>
          <cell r="D9" t="str">
            <v>Validate the working of login functionality under my account.</v>
          </cell>
          <cell r="E9" t="str">
            <v>P0</v>
          </cell>
        </row>
        <row r="10">
          <cell r="A10" t="str">
            <v>TS_03</v>
          </cell>
          <cell r="B10" t="str">
            <v>Login</v>
          </cell>
          <cell r="C10" t="str">
            <v>FRS</v>
          </cell>
          <cell r="D10" t="str">
            <v>validate the working of logout functionality.</v>
          </cell>
          <cell r="E10" t="str">
            <v>P0</v>
          </cell>
        </row>
        <row r="11">
          <cell r="A11" t="str">
            <v>TS_04</v>
          </cell>
          <cell r="B11" t="str">
            <v>Login</v>
          </cell>
          <cell r="C11" t="str">
            <v>FRS</v>
          </cell>
          <cell r="D11" t="str">
            <v>Validate the working of forgot password functionality.</v>
          </cell>
          <cell r="E11" t="str">
            <v>P2</v>
          </cell>
        </row>
        <row r="12">
          <cell r="A12" t="str">
            <v>TS_05</v>
          </cell>
          <cell r="B12" t="str">
            <v>Home Page</v>
          </cell>
          <cell r="C12" t="str">
            <v>FRS</v>
          </cell>
          <cell r="D12" t="str">
            <v>Valida the Opencart logo functionality on homepage.</v>
          </cell>
          <cell r="E12" t="str">
            <v>P0</v>
          </cell>
        </row>
        <row r="13">
          <cell r="A13" t="str">
            <v>TS_06</v>
          </cell>
          <cell r="B13" t="str">
            <v>Home Page</v>
          </cell>
          <cell r="C13" t="str">
            <v>FRS</v>
          </cell>
          <cell r="D13" t="str">
            <v>Varify the the working of currency selection dropdown functionality.</v>
          </cell>
          <cell r="E13" t="str">
            <v>P1</v>
          </cell>
        </row>
        <row r="14">
          <cell r="A14" t="str">
            <v>TS_07</v>
          </cell>
          <cell r="B14" t="str">
            <v>Home Page</v>
          </cell>
          <cell r="C14" t="str">
            <v>FRS</v>
          </cell>
          <cell r="D14" t="str">
            <v>verify the working of search product functionality</v>
          </cell>
          <cell r="E14" t="str">
            <v>P1</v>
          </cell>
        </row>
        <row r="15">
          <cell r="A15" t="str">
            <v>TS_08</v>
          </cell>
          <cell r="B15" t="str">
            <v>Home Page</v>
          </cell>
          <cell r="C15" t="str">
            <v>FRS</v>
          </cell>
          <cell r="D15" t="str">
            <v>Verify the product categories functionality.</v>
          </cell>
          <cell r="E15" t="str">
            <v>P0</v>
          </cell>
        </row>
        <row r="16">
          <cell r="A16" t="str">
            <v>TS_09</v>
          </cell>
          <cell r="B16" t="str">
            <v>Home Page</v>
          </cell>
          <cell r="C16" t="str">
            <v>FRS</v>
          </cell>
          <cell r="D16" t="str">
            <v>Verify the Product Banner slider functionality on home page.</v>
          </cell>
          <cell r="E16" t="str">
            <v>P0</v>
          </cell>
        </row>
        <row r="17">
          <cell r="A17" t="str">
            <v>TS_10</v>
          </cell>
          <cell r="B17" t="str">
            <v>Home Page</v>
          </cell>
          <cell r="C17" t="str">
            <v>FRS</v>
          </cell>
          <cell r="D17" t="str">
            <v>Verify the working of Add to card functionalty from featured product section.</v>
          </cell>
          <cell r="E17" t="str">
            <v>P0</v>
          </cell>
        </row>
        <row r="18">
          <cell r="A18" t="str">
            <v>TS_11</v>
          </cell>
          <cell r="B18" t="str">
            <v>Home Page</v>
          </cell>
          <cell r="C18" t="str">
            <v>FRS</v>
          </cell>
          <cell r="D18" t="str">
            <v>Verify the working of Wishlist from featured product section.</v>
          </cell>
          <cell r="E18" t="str">
            <v>P2</v>
          </cell>
        </row>
        <row r="19">
          <cell r="A19" t="str">
            <v>TS_12</v>
          </cell>
          <cell r="B19" t="str">
            <v>Home Page</v>
          </cell>
          <cell r="C19" t="str">
            <v>FRS</v>
          </cell>
          <cell r="D19" t="str">
            <v>Verify the user can add compare from featured product section.</v>
          </cell>
          <cell r="E19" t="str">
            <v>P3</v>
          </cell>
        </row>
        <row r="20">
          <cell r="A20" t="str">
            <v>TS_13</v>
          </cell>
          <cell r="B20" t="str">
            <v>Home Page</v>
          </cell>
          <cell r="C20" t="str">
            <v>FRS</v>
          </cell>
          <cell r="D20" t="str">
            <v>Verify the working of Brand slider functionality.</v>
          </cell>
          <cell r="E20" t="str">
            <v>P3</v>
          </cell>
        </row>
        <row r="21">
          <cell r="A21" t="str">
            <v>TS_14</v>
          </cell>
          <cell r="B21" t="str">
            <v>Wishlist</v>
          </cell>
          <cell r="C21" t="str">
            <v>FRS</v>
          </cell>
          <cell r="D21" t="str">
            <v>Verify the working of wishlist functionality.</v>
          </cell>
          <cell r="E21" t="str">
            <v>p2</v>
          </cell>
        </row>
        <row r="22">
          <cell r="A22" t="str">
            <v>TS_15</v>
          </cell>
          <cell r="B22" t="str">
            <v>Shopping Cart</v>
          </cell>
          <cell r="C22" t="str">
            <v>FRS</v>
          </cell>
          <cell r="D22" t="str">
            <v>Verify the working of shopping cart functionality.</v>
          </cell>
          <cell r="E22" t="str">
            <v>P0</v>
          </cell>
        </row>
        <row r="23">
          <cell r="A23" t="str">
            <v>TS_16</v>
          </cell>
          <cell r="B23" t="str">
            <v>Checkout</v>
          </cell>
          <cell r="C23" t="str">
            <v>FRS</v>
          </cell>
          <cell r="D23" t="str">
            <v>Verufy the working of checkout functionality.</v>
          </cell>
          <cell r="E23" t="str">
            <v>P0</v>
          </cell>
        </row>
        <row r="24">
          <cell r="A24" t="str">
            <v>TS_17</v>
          </cell>
          <cell r="B24" t="str">
            <v>Account - My Account</v>
          </cell>
          <cell r="C24" t="str">
            <v>FRS</v>
          </cell>
          <cell r="D24" t="str">
            <v>Verify the working of My Account information functionality.</v>
          </cell>
          <cell r="E24" t="str">
            <v>P3</v>
          </cell>
        </row>
        <row r="25">
          <cell r="A25" t="str">
            <v>TS_18</v>
          </cell>
          <cell r="B25" t="str">
            <v>Account - My Account</v>
          </cell>
          <cell r="C25" t="str">
            <v>FRS</v>
          </cell>
          <cell r="D25" t="str">
            <v>Validate the working of change password functionality.</v>
          </cell>
          <cell r="E25" t="str">
            <v>p4</v>
          </cell>
        </row>
        <row r="26">
          <cell r="A26" t="str">
            <v>TS_19</v>
          </cell>
          <cell r="B26" t="str">
            <v>Account - My Account</v>
          </cell>
          <cell r="C26" t="str">
            <v>FRS</v>
          </cell>
          <cell r="D26" t="str">
            <v>Validate the working of modify your addresss book entries functionality</v>
          </cell>
          <cell r="E26" t="str">
            <v>P1</v>
          </cell>
        </row>
        <row r="27">
          <cell r="A27" t="str">
            <v>TS_20</v>
          </cell>
          <cell r="B27" t="str">
            <v>Account - My Account</v>
          </cell>
          <cell r="C27" t="str">
            <v>FRS</v>
          </cell>
          <cell r="D27" t="str">
            <v>Verify working of Modify your wish list functionality.</v>
          </cell>
          <cell r="E27" t="str">
            <v>P4</v>
          </cell>
        </row>
        <row r="28">
          <cell r="A28" t="str">
            <v>TS_21</v>
          </cell>
          <cell r="B28" t="str">
            <v>Account - My Order</v>
          </cell>
          <cell r="C28" t="str">
            <v>FRS</v>
          </cell>
          <cell r="D28" t="str">
            <v>Verify the working of view your order functionality.</v>
          </cell>
          <cell r="E28" t="str">
            <v>P1</v>
          </cell>
        </row>
        <row r="29">
          <cell r="A29" t="str">
            <v>TS_22</v>
          </cell>
          <cell r="B29" t="str">
            <v>Account - My Order</v>
          </cell>
          <cell r="C29" t="str">
            <v>FRS</v>
          </cell>
          <cell r="D29" t="str">
            <v>Verify the working of subscription functionality.</v>
          </cell>
          <cell r="E29" t="str">
            <v>P4</v>
          </cell>
        </row>
        <row r="30">
          <cell r="A30" t="str">
            <v>TS_23</v>
          </cell>
          <cell r="B30" t="str">
            <v>Account - My Order</v>
          </cell>
          <cell r="C30" t="str">
            <v>FRS</v>
          </cell>
          <cell r="D30" t="str">
            <v>Verify the working of Downloads functionality.</v>
          </cell>
          <cell r="E30" t="str">
            <v>P4</v>
          </cell>
        </row>
        <row r="31">
          <cell r="A31" t="str">
            <v>TS_24</v>
          </cell>
          <cell r="B31" t="str">
            <v>Account - My Order</v>
          </cell>
          <cell r="C31" t="str">
            <v>FRS</v>
          </cell>
          <cell r="D31" t="str">
            <v>Verify the working of Your reward points functionality.</v>
          </cell>
          <cell r="E31" t="str">
            <v>P1</v>
          </cell>
        </row>
        <row r="32">
          <cell r="A32" t="str">
            <v>TS_25</v>
          </cell>
          <cell r="B32" t="str">
            <v>Account - My Order</v>
          </cell>
          <cell r="C32" t="str">
            <v>FRS</v>
          </cell>
          <cell r="D32" t="str">
            <v>Verify the working of Your Transactions functionality.</v>
          </cell>
          <cell r="E32" t="str">
            <v>P1</v>
          </cell>
        </row>
        <row r="33">
          <cell r="A33" t="str">
            <v>TS_26</v>
          </cell>
          <cell r="B33" t="str">
            <v>Account - My Affiliate</v>
          </cell>
          <cell r="C33" t="str">
            <v>FRS</v>
          </cell>
          <cell r="D33" t="str">
            <v>Verify the working of Register for an affiliate account functionality.</v>
          </cell>
          <cell r="E33" t="str">
            <v>P0</v>
          </cell>
        </row>
        <row r="34">
          <cell r="A34" t="str">
            <v>TS_27</v>
          </cell>
          <cell r="B34" t="str">
            <v>Account - Newsletter</v>
          </cell>
          <cell r="C34" t="str">
            <v>FRS</v>
          </cell>
          <cell r="D34" t="str">
            <v>Verify the working of Subscribe functionality.</v>
          </cell>
          <cell r="E34" t="str">
            <v>P2</v>
          </cell>
        </row>
        <row r="35">
          <cell r="A35" t="str">
            <v>TS_28</v>
          </cell>
          <cell r="B35" t="str">
            <v>Account - Newsletter</v>
          </cell>
          <cell r="C35" t="str">
            <v>FRS</v>
          </cell>
          <cell r="D35" t="str">
            <v>Verify the working of Unsubscribe functionality.</v>
          </cell>
          <cell r="E35" t="str">
            <v>P4</v>
          </cell>
        </row>
        <row r="36">
          <cell r="A36" t="str">
            <v>TS_29</v>
          </cell>
          <cell r="B36" t="str">
            <v>Customer Service</v>
          </cell>
          <cell r="C36" t="str">
            <v>FRS</v>
          </cell>
          <cell r="D36" t="str">
            <v>Verify the working of Contact us page functionality under footer.</v>
          </cell>
          <cell r="E36" t="str">
            <v>P2</v>
          </cell>
        </row>
      </sheetData>
      <sheetData sheetId="2">
        <row r="6">
          <cell r="B6" t="str">
            <v>TS_01 - Registration Functionality</v>
          </cell>
          <cell r="J6" t="str">
            <v>Not Executed</v>
          </cell>
        </row>
        <row r="7">
          <cell r="B7" t="str">
            <v>TS_01 - Registration Functionality</v>
          </cell>
          <cell r="J7" t="str">
            <v>Not Executed</v>
          </cell>
        </row>
        <row r="8">
          <cell r="B8" t="str">
            <v>TS_01 - Registration Functionality</v>
          </cell>
          <cell r="J8" t="str">
            <v>Not Executed</v>
          </cell>
        </row>
        <row r="9">
          <cell r="B9" t="str">
            <v>TS_01 - Registration Functionality</v>
          </cell>
          <cell r="J9" t="str">
            <v>Not Executed</v>
          </cell>
        </row>
        <row r="10">
          <cell r="B10" t="str">
            <v>TS_01 - Registration Functionality</v>
          </cell>
          <cell r="J10" t="str">
            <v>Not Executed</v>
          </cell>
        </row>
        <row r="11">
          <cell r="B11" t="str">
            <v>TS_01 - Registration Functionality</v>
          </cell>
          <cell r="J11" t="str">
            <v>Not Executed</v>
          </cell>
        </row>
        <row r="12">
          <cell r="B12" t="str">
            <v>TS_01 - Registration Functionality</v>
          </cell>
          <cell r="J12" t="str">
            <v>Not Executed</v>
          </cell>
        </row>
      </sheetData>
      <sheetData sheetId="3">
        <row r="6">
          <cell r="B6" t="str">
            <v>TS_02 - Login Functionality</v>
          </cell>
          <cell r="J6" t="str">
            <v>Not Executed</v>
          </cell>
        </row>
        <row r="7">
          <cell r="B7" t="str">
            <v>TS_02 - Login Functionality</v>
          </cell>
          <cell r="J7" t="str">
            <v>Not Executed</v>
          </cell>
        </row>
        <row r="8">
          <cell r="B8" t="str">
            <v>TS_02 - Login Functionality</v>
          </cell>
          <cell r="J8" t="str">
            <v>Not Executed</v>
          </cell>
        </row>
        <row r="9">
          <cell r="B9" t="str">
            <v>TS_02 - Login Functionality</v>
          </cell>
          <cell r="J9" t="str">
            <v>Not Executed</v>
          </cell>
        </row>
        <row r="10">
          <cell r="B10" t="str">
            <v>TS_02 - Login Functionality</v>
          </cell>
          <cell r="J10" t="str">
            <v>Not Executed</v>
          </cell>
        </row>
        <row r="11">
          <cell r="B11" t="str">
            <v>TS_02 - Login Functionality</v>
          </cell>
          <cell r="J11" t="str">
            <v>Not Executed</v>
          </cell>
        </row>
        <row r="12">
          <cell r="B12" t="str">
            <v>TS_03 - Logout Functionality</v>
          </cell>
          <cell r="J12" t="str">
            <v>Not Executed</v>
          </cell>
        </row>
        <row r="13">
          <cell r="B13" t="str">
            <v>TS_03 - Logout Functionality</v>
          </cell>
          <cell r="J13" t="str">
            <v>Not Executed</v>
          </cell>
        </row>
        <row r="14">
          <cell r="B14" t="str">
            <v>TS_04 - Forgot Password Functionality</v>
          </cell>
          <cell r="J14" t="str">
            <v>Not Executed</v>
          </cell>
        </row>
        <row r="15">
          <cell r="B15" t="str">
            <v>TS_04 - Forgot Password Functionality</v>
          </cell>
          <cell r="J15" t="str">
            <v>Not Executed</v>
          </cell>
        </row>
        <row r="16">
          <cell r="B16" t="str">
            <v>TS_04 - Forgot Password Functionality</v>
          </cell>
          <cell r="J16" t="str">
            <v>Not Executed</v>
          </cell>
        </row>
        <row r="17">
          <cell r="B17" t="str">
            <v>TS_04 - Forgot Password Functionality</v>
          </cell>
          <cell r="J17" t="str">
            <v>Not Executed</v>
          </cell>
        </row>
        <row r="18">
          <cell r="B18" t="str">
            <v>TS_04 - Forgot Password Functionality</v>
          </cell>
          <cell r="J18" t="str">
            <v>Not Executed</v>
          </cell>
        </row>
      </sheetData>
      <sheetData sheetId="4">
        <row r="6">
          <cell r="B6" t="str">
            <v>TS_05 - Logo Functionality</v>
          </cell>
          <cell r="J6" t="str">
            <v>Not Executed</v>
          </cell>
        </row>
        <row r="7">
          <cell r="B7" t="str">
            <v>TS_05 - Logo Functionality</v>
          </cell>
          <cell r="J7" t="str">
            <v>Not Executed</v>
          </cell>
        </row>
        <row r="8">
          <cell r="B8" t="str">
            <v>TS_05 - Logo Functionality</v>
          </cell>
          <cell r="J8" t="str">
            <v>Not Executed</v>
          </cell>
        </row>
        <row r="9">
          <cell r="B9" t="str">
            <v>TS_06 - Currency Selection Functionality</v>
          </cell>
          <cell r="J9" t="str">
            <v>Not Executed</v>
          </cell>
        </row>
        <row r="10">
          <cell r="B10" t="str">
            <v>TS_06 - Currency Selection Functionality</v>
          </cell>
          <cell r="J10" t="str">
            <v>Not Executed</v>
          </cell>
        </row>
        <row r="11">
          <cell r="B11" t="str">
            <v>TS_06 - Currency Selection Functionality</v>
          </cell>
          <cell r="J11" t="str">
            <v>Not Executed</v>
          </cell>
        </row>
        <row r="12">
          <cell r="B12" t="str">
            <v>TS_06 - Currency Selection Functionality</v>
          </cell>
          <cell r="J12" t="str">
            <v>Not Executed</v>
          </cell>
        </row>
        <row r="13">
          <cell r="B13" t="str">
            <v>TS_07 - Search Product Functionality</v>
          </cell>
          <cell r="J13" t="str">
            <v>Not Executed</v>
          </cell>
        </row>
        <row r="14">
          <cell r="B14" t="str">
            <v>TS_07 - Search Product Functionality</v>
          </cell>
          <cell r="J14" t="str">
            <v>Not Executed</v>
          </cell>
        </row>
        <row r="15">
          <cell r="B15" t="str">
            <v>TS_07 - Search Product Functionality</v>
          </cell>
          <cell r="J15" t="str">
            <v>Not Executed</v>
          </cell>
        </row>
        <row r="16">
          <cell r="B16" t="str">
            <v>TS_07 - Search Product Functionality</v>
          </cell>
          <cell r="J16" t="str">
            <v>Not Executed</v>
          </cell>
        </row>
        <row r="17">
          <cell r="B17" t="str">
            <v>TS_08 - Product Categories Functionality</v>
          </cell>
          <cell r="J17" t="str">
            <v>Not Executed</v>
          </cell>
        </row>
        <row r="18">
          <cell r="B18" t="str">
            <v>TS_08 - Product Categories Functionality</v>
          </cell>
          <cell r="J18" t="str">
            <v>Not Executed</v>
          </cell>
        </row>
        <row r="19">
          <cell r="B19" t="str">
            <v>TS_08 - Product Categories Functionality</v>
          </cell>
          <cell r="J19" t="str">
            <v>Not Executed</v>
          </cell>
        </row>
        <row r="20">
          <cell r="B20" t="str">
            <v>TS_08 - Product Categories Functionality</v>
          </cell>
          <cell r="J20" t="str">
            <v>Not Executed</v>
          </cell>
        </row>
        <row r="21">
          <cell r="B21" t="str">
            <v>TS_08 - Product Categories Functionality</v>
          </cell>
          <cell r="J21" t="str">
            <v>Not Executed</v>
          </cell>
        </row>
        <row r="22">
          <cell r="B22" t="str">
            <v>TS_09 - Banner Slider Functionality</v>
          </cell>
          <cell r="J22" t="str">
            <v>Not Executed</v>
          </cell>
        </row>
        <row r="23">
          <cell r="B23" t="str">
            <v>TS_09 - Banner Slider Functionality</v>
          </cell>
          <cell r="J23" t="str">
            <v>Not Executed</v>
          </cell>
        </row>
        <row r="24">
          <cell r="B24" t="str">
            <v>TS_09 - Banner Slider Functionality</v>
          </cell>
          <cell r="J24" t="str">
            <v>Not Executed</v>
          </cell>
        </row>
        <row r="25">
          <cell r="B25" t="str">
            <v>TS_10 - Add to Cart (Featured Products)</v>
          </cell>
          <cell r="J25" t="str">
            <v>Not Executed</v>
          </cell>
        </row>
        <row r="26">
          <cell r="B26" t="str">
            <v>TS_10 - Add to Cart (Featured Products)</v>
          </cell>
          <cell r="J26" t="str">
            <v>Not Executed</v>
          </cell>
        </row>
        <row r="27">
          <cell r="B27" t="str">
            <v>TS_10 - Add to Cart (Featured Products)</v>
          </cell>
          <cell r="J27" t="str">
            <v>Not Executed</v>
          </cell>
        </row>
        <row r="28">
          <cell r="B28" t="str">
            <v>TS_10 - Add to Cart (Featured Products)</v>
          </cell>
          <cell r="J28" t="str">
            <v>Not Executed</v>
          </cell>
        </row>
        <row r="29">
          <cell r="B29" t="str">
            <v>TS_11 - Wishlist (Featured Products)</v>
          </cell>
          <cell r="J29" t="str">
            <v>Not Executed</v>
          </cell>
        </row>
        <row r="30">
          <cell r="B30" t="str">
            <v>TS_11 - Wishlist (Featured Products)</v>
          </cell>
          <cell r="J30" t="str">
            <v>Not Executed</v>
          </cell>
        </row>
        <row r="31">
          <cell r="B31" t="str">
            <v>TS_11 - Wishlist (Featured Products)</v>
          </cell>
          <cell r="J31" t="str">
            <v>Not Executed</v>
          </cell>
        </row>
        <row r="32">
          <cell r="B32" t="str">
            <v>TS_12 - Compare (Featured Products)</v>
          </cell>
          <cell r="J32" t="str">
            <v>Not Executed</v>
          </cell>
        </row>
        <row r="33">
          <cell r="B33" t="str">
            <v>TS_12 - Compare (Featured Products)</v>
          </cell>
          <cell r="J33" t="str">
            <v>Not Executed</v>
          </cell>
        </row>
        <row r="34">
          <cell r="B34" t="str">
            <v>TS_12 - Compare (Featured Products)</v>
          </cell>
          <cell r="J34" t="str">
            <v>Not Executed</v>
          </cell>
        </row>
        <row r="35">
          <cell r="B35" t="str">
            <v>TS_12 - Compare (Featured Products)</v>
          </cell>
          <cell r="J35" t="str">
            <v>Not Executed</v>
          </cell>
        </row>
        <row r="36">
          <cell r="B36" t="str">
            <v>TS_13 - Brand Slider Functionality</v>
          </cell>
          <cell r="J36" t="str">
            <v>Not Executed</v>
          </cell>
        </row>
        <row r="37">
          <cell r="B37" t="str">
            <v>TS_13 - Brand Slider Functionality</v>
          </cell>
          <cell r="J37" t="str">
            <v>Not Executed</v>
          </cell>
        </row>
        <row r="38">
          <cell r="B38" t="str">
            <v>TS_13 - Brand Slider Functionality</v>
          </cell>
          <cell r="J38" t="str">
            <v>Not Executed</v>
          </cell>
        </row>
      </sheetData>
      <sheetData sheetId="5">
        <row r="6">
          <cell r="B6" t="str">
            <v>TS_14 - Wishlist Functionality</v>
          </cell>
          <cell r="J6" t="str">
            <v>Not Executed</v>
          </cell>
        </row>
        <row r="7">
          <cell r="B7" t="str">
            <v>TS_14 - Wishlist Functionality</v>
          </cell>
          <cell r="J7" t="str">
            <v>Not Executed</v>
          </cell>
        </row>
        <row r="8">
          <cell r="B8" t="str">
            <v>TS_14 - Wishlist Functionality</v>
          </cell>
          <cell r="J8" t="str">
            <v>Not Executed</v>
          </cell>
        </row>
        <row r="9">
          <cell r="B9" t="str">
            <v>TS_14 - Wishlist Functionality</v>
          </cell>
          <cell r="J9" t="str">
            <v>Not Executed</v>
          </cell>
        </row>
        <row r="10">
          <cell r="B10" t="str">
            <v>TS_14 - Wishlist Functionality</v>
          </cell>
          <cell r="J10" t="str">
            <v>Not Executed</v>
          </cell>
        </row>
        <row r="11">
          <cell r="B11" t="str">
            <v>TS_14 - Wishlist Functionality</v>
          </cell>
          <cell r="J11" t="str">
            <v>Not Executed</v>
          </cell>
        </row>
      </sheetData>
      <sheetData sheetId="6">
        <row r="6">
          <cell r="B6" t="str">
            <v>TS_15 - Shopping Cart Functionality</v>
          </cell>
          <cell r="J6" t="str">
            <v>Not Executed</v>
          </cell>
        </row>
        <row r="7">
          <cell r="B7" t="str">
            <v>TS_15 - Shopping Cart Functionality</v>
          </cell>
          <cell r="J7" t="str">
            <v>Not Executed</v>
          </cell>
        </row>
        <row r="8">
          <cell r="B8" t="str">
            <v>TS_15 - Shopping Cart Functionality</v>
          </cell>
          <cell r="J8" t="str">
            <v>Not Executed</v>
          </cell>
        </row>
        <row r="9">
          <cell r="B9" t="str">
            <v>TS_15 - Shopping Cart Functionality</v>
          </cell>
          <cell r="J9" t="str">
            <v>Not Executed</v>
          </cell>
        </row>
        <row r="10">
          <cell r="B10" t="str">
            <v>TS_15 - Shopping Cart Functionality</v>
          </cell>
          <cell r="J10" t="str">
            <v>Not Executed</v>
          </cell>
        </row>
        <row r="11">
          <cell r="B11" t="str">
            <v>TS_15 - Shopping Cart Functionality</v>
          </cell>
          <cell r="J11" t="str">
            <v>Not Executed</v>
          </cell>
        </row>
        <row r="12">
          <cell r="B12" t="str">
            <v>TS_15 - Shopping Cart Functionality</v>
          </cell>
          <cell r="J12" t="str">
            <v>Not Executed</v>
          </cell>
        </row>
        <row r="13">
          <cell r="B13" t="str">
            <v>TS_15 - Shopping Cart Functionality</v>
          </cell>
          <cell r="J13" t="str">
            <v>Not Executed</v>
          </cell>
        </row>
      </sheetData>
      <sheetData sheetId="7">
        <row r="6">
          <cell r="B6" t="str">
            <v>TS_16 - Checkout Functionality</v>
          </cell>
          <cell r="J6" t="str">
            <v>Not Executed</v>
          </cell>
        </row>
        <row r="7">
          <cell r="B7" t="str">
            <v>TS_16 - Checkout Functionality</v>
          </cell>
          <cell r="J7" t="str">
            <v>Not Executed</v>
          </cell>
        </row>
        <row r="8">
          <cell r="B8" t="str">
            <v>TS_16 - Checkout Functionality</v>
          </cell>
          <cell r="J8" t="str">
            <v>Not Executed</v>
          </cell>
        </row>
        <row r="9">
          <cell r="B9" t="str">
            <v>TS_16 - Checkout Functionality</v>
          </cell>
          <cell r="J9" t="str">
            <v>Not Executed</v>
          </cell>
        </row>
        <row r="10">
          <cell r="B10" t="str">
            <v>TS_16 - Checkout Functionality</v>
          </cell>
          <cell r="J10" t="str">
            <v>Not Executed</v>
          </cell>
        </row>
        <row r="11">
          <cell r="B11" t="str">
            <v>TS_16 - Checkout Functionality</v>
          </cell>
          <cell r="J11" t="str">
            <v>Not Executed</v>
          </cell>
        </row>
        <row r="12">
          <cell r="B12" t="str">
            <v>TS_16 - Checkout Functionality</v>
          </cell>
          <cell r="J12" t="str">
            <v>Not Executed</v>
          </cell>
        </row>
        <row r="13">
          <cell r="B13" t="str">
            <v>TS_16 - Checkout Functionality</v>
          </cell>
          <cell r="J13" t="str">
            <v>Not Executed</v>
          </cell>
        </row>
        <row r="14">
          <cell r="B14" t="str">
            <v>TS_16 - Checkout Functionality</v>
          </cell>
          <cell r="J14" t="str">
            <v>Not Executed</v>
          </cell>
        </row>
        <row r="15">
          <cell r="B15" t="str">
            <v>TS_16 - Checkout Functionality</v>
          </cell>
          <cell r="J15" t="str">
            <v>Not Executed</v>
          </cell>
        </row>
        <row r="16">
          <cell r="B16" t="str">
            <v>TS_16 - Checkout Functionality</v>
          </cell>
          <cell r="J16" t="str">
            <v>Not Executed</v>
          </cell>
        </row>
        <row r="17">
          <cell r="B17" t="str">
            <v>TS_16 - Checkout Functionality</v>
          </cell>
          <cell r="J17" t="str">
            <v>Not Executed</v>
          </cell>
        </row>
        <row r="18">
          <cell r="B18" t="str">
            <v>TS_16 - Checkout Functionality</v>
          </cell>
          <cell r="J18" t="str">
            <v>Not Executed</v>
          </cell>
        </row>
      </sheetData>
      <sheetData sheetId="8">
        <row r="6">
          <cell r="B6" t="str">
            <v>TS_17 - My Account Information</v>
          </cell>
          <cell r="J6" t="str">
            <v>Not Executed</v>
          </cell>
        </row>
        <row r="7">
          <cell r="B7" t="str">
            <v>TS_17 - My Account Information</v>
          </cell>
          <cell r="J7" t="str">
            <v>Not Executed</v>
          </cell>
        </row>
        <row r="8">
          <cell r="B8" t="str">
            <v>TS_17 - My Account Information</v>
          </cell>
          <cell r="J8" t="str">
            <v>Not Executed</v>
          </cell>
        </row>
        <row r="9">
          <cell r="B9" t="str">
            <v>TS_17 - My Account Information</v>
          </cell>
          <cell r="J9" t="str">
            <v>Not Executed</v>
          </cell>
        </row>
        <row r="10">
          <cell r="B10" t="str">
            <v>TS_18 - Change Password</v>
          </cell>
          <cell r="J10" t="str">
            <v>Not Executed</v>
          </cell>
        </row>
        <row r="11">
          <cell r="B11" t="str">
            <v>TS_18 - Change Password</v>
          </cell>
          <cell r="J11" t="str">
            <v>Not Executed</v>
          </cell>
        </row>
        <row r="12">
          <cell r="B12" t="str">
            <v>TS_18 - Change Password</v>
          </cell>
          <cell r="J12" t="str">
            <v>Not Executed</v>
          </cell>
        </row>
        <row r="13">
          <cell r="B13" t="str">
            <v>TS_18 - Change Password</v>
          </cell>
          <cell r="J13" t="str">
            <v>Not Executed</v>
          </cell>
        </row>
        <row r="14">
          <cell r="B14" t="str">
            <v>TS_18 - Change Password</v>
          </cell>
          <cell r="J14" t="str">
            <v>Not Executed</v>
          </cell>
        </row>
        <row r="15">
          <cell r="B15" t="str">
            <v>TS_19 - Address Book</v>
          </cell>
          <cell r="J15" t="str">
            <v>Not Executed</v>
          </cell>
        </row>
        <row r="16">
          <cell r="B16" t="str">
            <v>TS_19 - Address Book</v>
          </cell>
          <cell r="J16" t="str">
            <v>Not Executed</v>
          </cell>
        </row>
        <row r="17">
          <cell r="B17" t="str">
            <v>TS_19 - Address Book</v>
          </cell>
          <cell r="J17" t="str">
            <v>Not Executed</v>
          </cell>
        </row>
        <row r="18">
          <cell r="B18" t="str">
            <v>TS_19 - Address Book</v>
          </cell>
          <cell r="J18" t="str">
            <v>Not Executed</v>
          </cell>
        </row>
        <row r="19">
          <cell r="B19" t="str">
            <v>TS_19 - Address Book</v>
          </cell>
          <cell r="J19" t="str">
            <v>Not Executed</v>
          </cell>
        </row>
        <row r="20">
          <cell r="B20" t="str">
            <v>TS_19 - Address Book</v>
          </cell>
          <cell r="J20" t="str">
            <v>Not Executed</v>
          </cell>
        </row>
        <row r="21">
          <cell r="B21" t="str">
            <v>TS_20 - Modify Wish List</v>
          </cell>
          <cell r="J21" t="str">
            <v>Not Executed</v>
          </cell>
        </row>
        <row r="22">
          <cell r="B22" t="str">
            <v>TS_20 - Modify Wish List</v>
          </cell>
          <cell r="J22" t="str">
            <v>Not Executed</v>
          </cell>
        </row>
        <row r="23">
          <cell r="B23" t="str">
            <v>TS_20 - Modify Wish List</v>
          </cell>
          <cell r="J23" t="str">
            <v>Not Executed</v>
          </cell>
        </row>
      </sheetData>
      <sheetData sheetId="9">
        <row r="6">
          <cell r="B6" t="str">
            <v>TS_21 - View Your Order</v>
          </cell>
          <cell r="J6" t="str">
            <v>Not Executed</v>
          </cell>
        </row>
        <row r="7">
          <cell r="B7" t="str">
            <v>TS_21 - View Your Order</v>
          </cell>
          <cell r="J7" t="str">
            <v>Not Executed</v>
          </cell>
        </row>
        <row r="8">
          <cell r="B8" t="str">
            <v>TS_21 - View Your Order</v>
          </cell>
          <cell r="J8" t="str">
            <v>Not Executed</v>
          </cell>
        </row>
        <row r="9">
          <cell r="B9" t="str">
            <v>TS_22 - Subscription</v>
          </cell>
          <cell r="J9" t="str">
            <v>Not Executed</v>
          </cell>
        </row>
        <row r="10">
          <cell r="B10" t="str">
            <v>TS_22 - Subscription</v>
          </cell>
          <cell r="J10" t="str">
            <v>Not Executed</v>
          </cell>
        </row>
        <row r="11">
          <cell r="B11" t="str">
            <v>TS_22 - Subscription</v>
          </cell>
          <cell r="J11" t="str">
            <v>Not Executed</v>
          </cell>
        </row>
        <row r="12">
          <cell r="B12" t="str">
            <v>TS_23 - Downloads</v>
          </cell>
          <cell r="J12" t="str">
            <v>Not Executed</v>
          </cell>
        </row>
        <row r="13">
          <cell r="B13" t="str">
            <v>TS_23 - Downloads</v>
          </cell>
          <cell r="J13" t="str">
            <v>Not Executed</v>
          </cell>
        </row>
        <row r="14">
          <cell r="B14" t="str">
            <v>TS_23 - Downloads</v>
          </cell>
          <cell r="J14" t="str">
            <v>Not Executed</v>
          </cell>
        </row>
        <row r="15">
          <cell r="B15" t="str">
            <v>TS_24 - Your Reward Points</v>
          </cell>
          <cell r="J15" t="str">
            <v>Not Executed</v>
          </cell>
        </row>
        <row r="16">
          <cell r="B16" t="str">
            <v>TS_24 - Your Reward Points</v>
          </cell>
          <cell r="J16" t="str">
            <v>Not Executed</v>
          </cell>
        </row>
        <row r="17">
          <cell r="B17" t="str">
            <v>TS_24 - Your Reward Points</v>
          </cell>
          <cell r="J17" t="str">
            <v>Not Executed</v>
          </cell>
        </row>
        <row r="18">
          <cell r="B18" t="str">
            <v>TS_24 - Your Reward Points</v>
          </cell>
          <cell r="J18" t="str">
            <v>Not Executed</v>
          </cell>
        </row>
        <row r="19">
          <cell r="B19" t="str">
            <v>TS_25 - Your Transactions</v>
          </cell>
          <cell r="J19" t="str">
            <v>Not Executed</v>
          </cell>
        </row>
        <row r="20">
          <cell r="B20" t="str">
            <v>TS_25 - Your Transactions</v>
          </cell>
          <cell r="J20" t="str">
            <v>Not Executed</v>
          </cell>
        </row>
        <row r="21">
          <cell r="B21" t="str">
            <v>TS_25 - Your Transactions</v>
          </cell>
          <cell r="J21" t="str">
            <v>Not Executed</v>
          </cell>
        </row>
      </sheetData>
      <sheetData sheetId="10">
        <row r="6">
          <cell r="B6" t="str">
            <v>TS_26 - Register for Affiliate Account</v>
          </cell>
          <cell r="J6" t="str">
            <v>Not Executed</v>
          </cell>
        </row>
        <row r="7">
          <cell r="B7" t="str">
            <v>TS_26 - Register for Affiliate Account</v>
          </cell>
          <cell r="J7" t="str">
            <v>Not Executed</v>
          </cell>
        </row>
        <row r="8">
          <cell r="B8" t="str">
            <v>TS_26 - Register for Affiliate Account</v>
          </cell>
          <cell r="J8" t="str">
            <v>Not Executed</v>
          </cell>
        </row>
        <row r="9">
          <cell r="B9" t="str">
            <v>TS_26 - Register for Affiliate Account</v>
          </cell>
          <cell r="J9" t="str">
            <v>Not Executed</v>
          </cell>
        </row>
        <row r="10">
          <cell r="B10" t="str">
            <v>TS_26 - Register for Affiliate Account</v>
          </cell>
          <cell r="J10" t="str">
            <v>Not Executed</v>
          </cell>
        </row>
      </sheetData>
      <sheetData sheetId="11">
        <row r="6">
          <cell r="B6" t="str">
            <v>TS_27 - Subscribe</v>
          </cell>
          <cell r="J6" t="str">
            <v>Not Executed</v>
          </cell>
        </row>
        <row r="7">
          <cell r="B7" t="str">
            <v>TS_27 - Subscribe</v>
          </cell>
          <cell r="J7" t="str">
            <v>Not Executed</v>
          </cell>
        </row>
        <row r="8">
          <cell r="B8" t="str">
            <v>TS_27 - Subscribe</v>
          </cell>
          <cell r="J8" t="str">
            <v>Not Executed</v>
          </cell>
        </row>
        <row r="9">
          <cell r="B9" t="str">
            <v>TS_28 - Unsubscribe</v>
          </cell>
          <cell r="J9" t="str">
            <v>Not Executed</v>
          </cell>
        </row>
        <row r="10">
          <cell r="B10" t="str">
            <v>TS_28 - Unsubscribe</v>
          </cell>
          <cell r="J10" t="str">
            <v>Not Executed</v>
          </cell>
        </row>
        <row r="11">
          <cell r="B11" t="str">
            <v>TS_28 - Unsubscribe</v>
          </cell>
          <cell r="J11" t="str">
            <v>Not Executed</v>
          </cell>
        </row>
      </sheetData>
      <sheetData sheetId="12">
        <row r="6">
          <cell r="B6" t="str">
            <v>TS_29 - Contact Us</v>
          </cell>
          <cell r="J6" t="str">
            <v>Not Executed</v>
          </cell>
        </row>
        <row r="7">
          <cell r="B7" t="str">
            <v>TS_29 - Contact Us</v>
          </cell>
          <cell r="J7" t="str">
            <v>Not Executed</v>
          </cell>
        </row>
        <row r="8">
          <cell r="B8" t="str">
            <v>TS_29 - Contact Us</v>
          </cell>
          <cell r="J8" t="str">
            <v>Not Executed</v>
          </cell>
        </row>
        <row r="9">
          <cell r="B9" t="str">
            <v>TS_29 - Contact Us</v>
          </cell>
          <cell r="J9" t="str">
            <v>Not Executed</v>
          </cell>
        </row>
        <row r="10">
          <cell r="B10" t="str">
            <v>TS_29 - Contact Us</v>
          </cell>
          <cell r="J10" t="str">
            <v>Not Executed</v>
          </cell>
        </row>
        <row r="11">
          <cell r="B11" t="str">
            <v>TS_29 - Contact Us</v>
          </cell>
          <cell r="J11" t="str">
            <v>Not Executed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166B3-DEEE-4C84-96B8-0B9208AF68C8}">
  <dimension ref="A1:K32"/>
  <sheetViews>
    <sheetView tabSelected="1" topLeftCell="B1" workbookViewId="0">
      <selection activeCell="F9" sqref="F9"/>
    </sheetView>
  </sheetViews>
  <sheetFormatPr defaultRowHeight="15" x14ac:dyDescent="0.25"/>
  <cols>
    <col min="1" max="1" width="37.28515625" bestFit="1" customWidth="1"/>
    <col min="2" max="2" width="20" bestFit="1" customWidth="1"/>
    <col min="3" max="3" width="8.5703125" bestFit="1" customWidth="1"/>
    <col min="4" max="4" width="68.85546875" bestFit="1" customWidth="1"/>
    <col min="5" max="5" width="7.28515625" bestFit="1" customWidth="1"/>
    <col min="6" max="6" width="63" bestFit="1" customWidth="1"/>
    <col min="7" max="7" width="10.28515625" bestFit="1" customWidth="1"/>
    <col min="8" max="8" width="7.42578125" bestFit="1" customWidth="1"/>
    <col min="9" max="9" width="6.42578125" bestFit="1" customWidth="1"/>
    <col min="10" max="10" width="8.7109375" bestFit="1" customWidth="1"/>
    <col min="11" max="11" width="15.5703125" bestFit="1" customWidth="1"/>
  </cols>
  <sheetData>
    <row r="1" spans="1:11" ht="15.75" x14ac:dyDescent="0.25">
      <c r="A1" s="1" t="s">
        <v>0</v>
      </c>
    </row>
    <row r="3" spans="1:11" ht="30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ht="15" customHeight="1" x14ac:dyDescent="0.25">
      <c r="A4" s="3" t="str">
        <f>'[1]Test-Scenario'!A8</f>
        <v>TS_01</v>
      </c>
      <c r="B4" s="4" t="str">
        <f>'[1]Test-Scenario'!B8</f>
        <v>Register</v>
      </c>
      <c r="C4" s="3" t="str">
        <f>'[1]Test-Scenario'!C8</f>
        <v>FRS</v>
      </c>
      <c r="D4" s="4" t="str">
        <f>'[1]Test-Scenario'!D8</f>
        <v>Verify the working of Registration functionality under my account.</v>
      </c>
      <c r="E4" s="3" t="str">
        <f>'[1]Test-Scenario'!E8</f>
        <v>P0</v>
      </c>
      <c r="F4" s="4" t="s">
        <v>12</v>
      </c>
      <c r="G4" s="3">
        <f>COUNTIF([1]Register!$B$6:$B$12,A4&amp;" -*")</f>
        <v>7</v>
      </c>
      <c r="H4" s="3">
        <f>COUNTIFS([1]Register!$B$6:$B$12,A4&amp;" -*",[1]Register!$J$6:$J$12,"Pass")</f>
        <v>0</v>
      </c>
      <c r="I4" s="3">
        <f>COUNTIFS([1]Register!$B$6:$B$12,A4&amp;" -*",[1]Register!$J$6:$J$12,"Fail")</f>
        <v>0</v>
      </c>
      <c r="J4" s="3">
        <f>COUNTIFS([1]Register!$B$6:$B$12,A4&amp;" -*",[1]Register!$J$6:$J$12,"Not Executed")</f>
        <v>7</v>
      </c>
      <c r="K4" s="3" t="str">
        <f t="shared" ref="K4:K32" si="0">IF(G4=0,"Not Covered",IF(I4&gt;0,"Failing",IF(H4=G4,"Passed",IF(J4=G4,"Ready to Execute","In Progress"))))</f>
        <v>Ready to Execute</v>
      </c>
    </row>
    <row r="5" spans="1:11" ht="15" customHeight="1" x14ac:dyDescent="0.25">
      <c r="A5" s="3" t="str">
        <f>'[1]Test-Scenario'!A9</f>
        <v>TS_02</v>
      </c>
      <c r="B5" s="4" t="str">
        <f>'[1]Test-Scenario'!B9</f>
        <v>Login</v>
      </c>
      <c r="C5" s="3" t="str">
        <f>'[1]Test-Scenario'!C9</f>
        <v>FRS</v>
      </c>
      <c r="D5" s="4" t="str">
        <f>'[1]Test-Scenario'!D9</f>
        <v>Validate the working of login functionality under my account.</v>
      </c>
      <c r="E5" s="3" t="str">
        <f>'[1]Test-Scenario'!E9</f>
        <v>P0</v>
      </c>
      <c r="F5" s="4" t="s">
        <v>13</v>
      </c>
      <c r="G5" s="3">
        <f>COUNTIF([1]Login!$B$6:$B$18,A5&amp;" -*")</f>
        <v>6</v>
      </c>
      <c r="H5" s="3">
        <f>COUNTIFS([1]Login!$B$6:$B$18,A5&amp;" -*",[1]Login!$J$6:$J$18,"Pass")</f>
        <v>0</v>
      </c>
      <c r="I5" s="3">
        <f>COUNTIFS([1]Login!$B$6:$B$18,A5&amp;" -*",[1]Login!$J$6:$J$18,"Fail")</f>
        <v>0</v>
      </c>
      <c r="J5" s="3">
        <f>COUNTIFS([1]Login!$B$6:$B$18,A5&amp;" -*",[1]Login!$J$6:$J$18,"Not Executed")</f>
        <v>6</v>
      </c>
      <c r="K5" s="3" t="str">
        <f t="shared" si="0"/>
        <v>Ready to Execute</v>
      </c>
    </row>
    <row r="6" spans="1:11" ht="15" customHeight="1" x14ac:dyDescent="0.25">
      <c r="A6" s="3" t="str">
        <f>'[1]Test-Scenario'!A10</f>
        <v>TS_03</v>
      </c>
      <c r="B6" s="4" t="str">
        <f>'[1]Test-Scenario'!B10</f>
        <v>Login</v>
      </c>
      <c r="C6" s="3" t="str">
        <f>'[1]Test-Scenario'!C10</f>
        <v>FRS</v>
      </c>
      <c r="D6" s="4" t="str">
        <f>'[1]Test-Scenario'!D10</f>
        <v>validate the working of logout functionality.</v>
      </c>
      <c r="E6" s="3" t="str">
        <f>'[1]Test-Scenario'!E10</f>
        <v>P0</v>
      </c>
      <c r="F6" s="4" t="s">
        <v>14</v>
      </c>
      <c r="G6" s="3">
        <f>COUNTIF([1]Login!$B$6:$B$18,A6&amp;" -*")</f>
        <v>2</v>
      </c>
      <c r="H6" s="3">
        <f>COUNTIFS([1]Login!$B$6:$B$18,A6&amp;" -*",[1]Login!$J$6:$J$18,"Pass")</f>
        <v>0</v>
      </c>
      <c r="I6" s="3">
        <f>COUNTIFS([1]Login!$B$6:$B$18,A6&amp;" -*",[1]Login!$J$6:$J$18,"Fail")</f>
        <v>0</v>
      </c>
      <c r="J6" s="3">
        <f>COUNTIFS([1]Login!$B$6:$B$18,A6&amp;" -*",[1]Login!$J$6:$J$18,"Not Executed")</f>
        <v>2</v>
      </c>
      <c r="K6" s="3" t="str">
        <f t="shared" si="0"/>
        <v>Ready to Execute</v>
      </c>
    </row>
    <row r="7" spans="1:11" ht="15" customHeight="1" x14ac:dyDescent="0.25">
      <c r="A7" s="3" t="str">
        <f>'[1]Test-Scenario'!A11</f>
        <v>TS_04</v>
      </c>
      <c r="B7" s="4" t="str">
        <f>'[1]Test-Scenario'!B11</f>
        <v>Login</v>
      </c>
      <c r="C7" s="3" t="str">
        <f>'[1]Test-Scenario'!C11</f>
        <v>FRS</v>
      </c>
      <c r="D7" s="4" t="str">
        <f>'[1]Test-Scenario'!D11</f>
        <v>Validate the working of forgot password functionality.</v>
      </c>
      <c r="E7" s="3" t="str">
        <f>'[1]Test-Scenario'!E11</f>
        <v>P2</v>
      </c>
      <c r="F7" s="4" t="s">
        <v>15</v>
      </c>
      <c r="G7" s="3">
        <f>COUNTIF([1]Login!$B$6:$B$18,A7&amp;" -*")</f>
        <v>5</v>
      </c>
      <c r="H7" s="3">
        <f>COUNTIFS([1]Login!$B$6:$B$18,A7&amp;" -*",[1]Login!$J$6:$J$18,"Pass")</f>
        <v>0</v>
      </c>
      <c r="I7" s="3">
        <f>COUNTIFS([1]Login!$B$6:$B$18,A7&amp;" -*",[1]Login!$J$6:$J$18,"Fail")</f>
        <v>0</v>
      </c>
      <c r="J7" s="3">
        <f>COUNTIFS([1]Login!$B$6:$B$18,A7&amp;" -*",[1]Login!$J$6:$J$18,"Not Executed")</f>
        <v>5</v>
      </c>
      <c r="K7" s="3" t="str">
        <f t="shared" si="0"/>
        <v>Ready to Execute</v>
      </c>
    </row>
    <row r="8" spans="1:11" ht="15" customHeight="1" x14ac:dyDescent="0.25">
      <c r="A8" s="3" t="str">
        <f>'[1]Test-Scenario'!A12</f>
        <v>TS_05</v>
      </c>
      <c r="B8" s="4" t="str">
        <f>'[1]Test-Scenario'!B12</f>
        <v>Home Page</v>
      </c>
      <c r="C8" s="3" t="str">
        <f>'[1]Test-Scenario'!C12</f>
        <v>FRS</v>
      </c>
      <c r="D8" s="4" t="str">
        <f>'[1]Test-Scenario'!D12</f>
        <v>Valida the Opencart logo functionality on homepage.</v>
      </c>
      <c r="E8" s="3" t="str">
        <f>'[1]Test-Scenario'!E12</f>
        <v>P0</v>
      </c>
      <c r="F8" s="4" t="s">
        <v>16</v>
      </c>
      <c r="G8" s="3">
        <f>COUNTIF('[1]Home Page'!$B$6:$B$38,A8&amp;" -*")</f>
        <v>3</v>
      </c>
      <c r="H8" s="3">
        <f>COUNTIFS('[1]Home Page'!$B$6:$B$38,A8&amp;" -*",'[1]Home Page'!$J$6:$J$38,"Pass")</f>
        <v>0</v>
      </c>
      <c r="I8" s="3">
        <f>COUNTIFS('[1]Home Page'!$B$6:$B$38,A8&amp;" -*",'[1]Home Page'!$J$6:$J$38,"Fail")</f>
        <v>0</v>
      </c>
      <c r="J8" s="3">
        <f>COUNTIFS('[1]Home Page'!$B$6:$B$38,A8&amp;" -*",'[1]Home Page'!$J$6:$J$38,"Not Executed")</f>
        <v>3</v>
      </c>
      <c r="K8" s="3" t="str">
        <f t="shared" si="0"/>
        <v>Ready to Execute</v>
      </c>
    </row>
    <row r="9" spans="1:11" ht="15" customHeight="1" x14ac:dyDescent="0.25">
      <c r="A9" s="3" t="str">
        <f>'[1]Test-Scenario'!A13</f>
        <v>TS_06</v>
      </c>
      <c r="B9" s="4" t="str">
        <f>'[1]Test-Scenario'!B13</f>
        <v>Home Page</v>
      </c>
      <c r="C9" s="3" t="str">
        <f>'[1]Test-Scenario'!C13</f>
        <v>FRS</v>
      </c>
      <c r="D9" s="4" t="str">
        <f>'[1]Test-Scenario'!D13</f>
        <v>Varify the the working of currency selection dropdown functionality.</v>
      </c>
      <c r="E9" s="3" t="str">
        <f>'[1]Test-Scenario'!E13</f>
        <v>P1</v>
      </c>
      <c r="F9" s="4" t="s">
        <v>17</v>
      </c>
      <c r="G9" s="3">
        <f>COUNTIF('[1]Home Page'!$B$6:$B$38,A9&amp;" -*")</f>
        <v>4</v>
      </c>
      <c r="H9" s="3">
        <f>COUNTIFS('[1]Home Page'!$B$6:$B$38,A9&amp;" -*",'[1]Home Page'!$J$6:$J$38,"Pass")</f>
        <v>0</v>
      </c>
      <c r="I9" s="3">
        <f>COUNTIFS('[1]Home Page'!$B$6:$B$38,A9&amp;" -*",'[1]Home Page'!$J$6:$J$38,"Fail")</f>
        <v>0</v>
      </c>
      <c r="J9" s="3">
        <f>COUNTIFS('[1]Home Page'!$B$6:$B$38,A9&amp;" -*",'[1]Home Page'!$J$6:$J$38,"Not Executed")</f>
        <v>4</v>
      </c>
      <c r="K9" s="3" t="str">
        <f t="shared" si="0"/>
        <v>Ready to Execute</v>
      </c>
    </row>
    <row r="10" spans="1:11" ht="15" customHeight="1" x14ac:dyDescent="0.25">
      <c r="A10" s="3" t="str">
        <f>'[1]Test-Scenario'!A14</f>
        <v>TS_07</v>
      </c>
      <c r="B10" s="4" t="str">
        <f>'[1]Test-Scenario'!B14</f>
        <v>Home Page</v>
      </c>
      <c r="C10" s="3" t="str">
        <f>'[1]Test-Scenario'!C14</f>
        <v>FRS</v>
      </c>
      <c r="D10" s="4" t="str">
        <f>'[1]Test-Scenario'!D14</f>
        <v>verify the working of search product functionality</v>
      </c>
      <c r="E10" s="3" t="str">
        <f>'[1]Test-Scenario'!E14</f>
        <v>P1</v>
      </c>
      <c r="F10" s="4" t="s">
        <v>18</v>
      </c>
      <c r="G10" s="3">
        <f>COUNTIF('[1]Home Page'!$B$6:$B$38,A10&amp;" -*")</f>
        <v>4</v>
      </c>
      <c r="H10" s="3">
        <f>COUNTIFS('[1]Home Page'!$B$6:$B$38,A10&amp;" -*",'[1]Home Page'!$J$6:$J$38,"Pass")</f>
        <v>0</v>
      </c>
      <c r="I10" s="3">
        <f>COUNTIFS('[1]Home Page'!$B$6:$B$38,A10&amp;" -*",'[1]Home Page'!$J$6:$J$38,"Fail")</f>
        <v>0</v>
      </c>
      <c r="J10" s="3">
        <f>COUNTIFS('[1]Home Page'!$B$6:$B$38,A10&amp;" -*",'[1]Home Page'!$J$6:$J$38,"Not Executed")</f>
        <v>4</v>
      </c>
      <c r="K10" s="3" t="str">
        <f t="shared" si="0"/>
        <v>Ready to Execute</v>
      </c>
    </row>
    <row r="11" spans="1:11" ht="15" customHeight="1" x14ac:dyDescent="0.25">
      <c r="A11" s="3" t="str">
        <f>'[1]Test-Scenario'!A15</f>
        <v>TS_08</v>
      </c>
      <c r="B11" s="4" t="str">
        <f>'[1]Test-Scenario'!B15</f>
        <v>Home Page</v>
      </c>
      <c r="C11" s="3" t="str">
        <f>'[1]Test-Scenario'!C15</f>
        <v>FRS</v>
      </c>
      <c r="D11" s="4" t="str">
        <f>'[1]Test-Scenario'!D15</f>
        <v>Verify the product categories functionality.</v>
      </c>
      <c r="E11" s="3" t="str">
        <f>'[1]Test-Scenario'!E15</f>
        <v>P0</v>
      </c>
      <c r="F11" s="4" t="s">
        <v>19</v>
      </c>
      <c r="G11" s="3">
        <f>COUNTIF('[1]Home Page'!$B$6:$B$38,A11&amp;" -*")</f>
        <v>5</v>
      </c>
      <c r="H11" s="3">
        <f>COUNTIFS('[1]Home Page'!$B$6:$B$38,A11&amp;" -*",'[1]Home Page'!$J$6:$J$38,"Pass")</f>
        <v>0</v>
      </c>
      <c r="I11" s="3">
        <f>COUNTIFS('[1]Home Page'!$B$6:$B$38,A11&amp;" -*",'[1]Home Page'!$J$6:$J$38,"Fail")</f>
        <v>0</v>
      </c>
      <c r="J11" s="3">
        <f>COUNTIFS('[1]Home Page'!$B$6:$B$38,A11&amp;" -*",'[1]Home Page'!$J$6:$J$38,"Not Executed")</f>
        <v>5</v>
      </c>
      <c r="K11" s="3" t="str">
        <f t="shared" si="0"/>
        <v>Ready to Execute</v>
      </c>
    </row>
    <row r="12" spans="1:11" ht="15" customHeight="1" x14ac:dyDescent="0.25">
      <c r="A12" s="3" t="str">
        <f>'[1]Test-Scenario'!A16</f>
        <v>TS_09</v>
      </c>
      <c r="B12" s="4" t="str">
        <f>'[1]Test-Scenario'!B16</f>
        <v>Home Page</v>
      </c>
      <c r="C12" s="3" t="str">
        <f>'[1]Test-Scenario'!C16</f>
        <v>FRS</v>
      </c>
      <c r="D12" s="4" t="str">
        <f>'[1]Test-Scenario'!D16</f>
        <v>Verify the Product Banner slider functionality on home page.</v>
      </c>
      <c r="E12" s="3" t="str">
        <f>'[1]Test-Scenario'!E16</f>
        <v>P0</v>
      </c>
      <c r="F12" s="4" t="s">
        <v>20</v>
      </c>
      <c r="G12" s="3">
        <f>COUNTIF('[1]Home Page'!$B$6:$B$38,A12&amp;" -*")</f>
        <v>3</v>
      </c>
      <c r="H12" s="3">
        <f>COUNTIFS('[1]Home Page'!$B$6:$B$38,A12&amp;" -*",'[1]Home Page'!$J$6:$J$38,"Pass")</f>
        <v>0</v>
      </c>
      <c r="I12" s="3">
        <f>COUNTIFS('[1]Home Page'!$B$6:$B$38,A12&amp;" -*",'[1]Home Page'!$J$6:$J$38,"Fail")</f>
        <v>0</v>
      </c>
      <c r="J12" s="3">
        <f>COUNTIFS('[1]Home Page'!$B$6:$B$38,A12&amp;" -*",'[1]Home Page'!$J$6:$J$38,"Not Executed")</f>
        <v>3</v>
      </c>
      <c r="K12" s="3" t="str">
        <f t="shared" si="0"/>
        <v>Ready to Execute</v>
      </c>
    </row>
    <row r="13" spans="1:11" ht="15" customHeight="1" x14ac:dyDescent="0.25">
      <c r="A13" s="3" t="str">
        <f>'[1]Test-Scenario'!A17</f>
        <v>TS_10</v>
      </c>
      <c r="B13" s="4" t="str">
        <f>'[1]Test-Scenario'!B17</f>
        <v>Home Page</v>
      </c>
      <c r="C13" s="3" t="str">
        <f>'[1]Test-Scenario'!C17</f>
        <v>FRS</v>
      </c>
      <c r="D13" s="4" t="str">
        <f>'[1]Test-Scenario'!D17</f>
        <v>Verify the working of Add to card functionalty from featured product section.</v>
      </c>
      <c r="E13" s="3" t="str">
        <f>'[1]Test-Scenario'!E17</f>
        <v>P0</v>
      </c>
      <c r="F13" s="4" t="s">
        <v>21</v>
      </c>
      <c r="G13" s="3">
        <f>COUNTIF('[1]Home Page'!$B$6:$B$38,A13&amp;" -*")</f>
        <v>4</v>
      </c>
      <c r="H13" s="3">
        <f>COUNTIFS('[1]Home Page'!$B$6:$B$38,A13&amp;" -*",'[1]Home Page'!$J$6:$J$38,"Pass")</f>
        <v>0</v>
      </c>
      <c r="I13" s="3">
        <f>COUNTIFS('[1]Home Page'!$B$6:$B$38,A13&amp;" -*",'[1]Home Page'!$J$6:$J$38,"Fail")</f>
        <v>0</v>
      </c>
      <c r="J13" s="3">
        <f>COUNTIFS('[1]Home Page'!$B$6:$B$38,A13&amp;" -*",'[1]Home Page'!$J$6:$J$38,"Not Executed")</f>
        <v>4</v>
      </c>
      <c r="K13" s="3" t="str">
        <f t="shared" si="0"/>
        <v>Ready to Execute</v>
      </c>
    </row>
    <row r="14" spans="1:11" ht="15" customHeight="1" x14ac:dyDescent="0.25">
      <c r="A14" s="3" t="str">
        <f>'[1]Test-Scenario'!A18</f>
        <v>TS_11</v>
      </c>
      <c r="B14" s="4" t="str">
        <f>'[1]Test-Scenario'!B18</f>
        <v>Home Page</v>
      </c>
      <c r="C14" s="3" t="str">
        <f>'[1]Test-Scenario'!C18</f>
        <v>FRS</v>
      </c>
      <c r="D14" s="4" t="str">
        <f>'[1]Test-Scenario'!D18</f>
        <v>Verify the working of Wishlist from featured product section.</v>
      </c>
      <c r="E14" s="3" t="str">
        <f>'[1]Test-Scenario'!E18</f>
        <v>P2</v>
      </c>
      <c r="F14" s="4" t="s">
        <v>22</v>
      </c>
      <c r="G14" s="3">
        <f>COUNTIF('[1]Home Page'!$B$6:$B$38,A14&amp;" -*")</f>
        <v>3</v>
      </c>
      <c r="H14" s="3">
        <f>COUNTIFS('[1]Home Page'!$B$6:$B$38,A14&amp;" -*",'[1]Home Page'!$J$6:$J$38,"Pass")</f>
        <v>0</v>
      </c>
      <c r="I14" s="3">
        <f>COUNTIFS('[1]Home Page'!$B$6:$B$38,A14&amp;" -*",'[1]Home Page'!$J$6:$J$38,"Fail")</f>
        <v>0</v>
      </c>
      <c r="J14" s="3">
        <f>COUNTIFS('[1]Home Page'!$B$6:$B$38,A14&amp;" -*",'[1]Home Page'!$J$6:$J$38,"Not Executed")</f>
        <v>3</v>
      </c>
      <c r="K14" s="3" t="str">
        <f t="shared" si="0"/>
        <v>Ready to Execute</v>
      </c>
    </row>
    <row r="15" spans="1:11" ht="15" customHeight="1" x14ac:dyDescent="0.25">
      <c r="A15" s="3" t="str">
        <f>'[1]Test-Scenario'!A19</f>
        <v>TS_12</v>
      </c>
      <c r="B15" s="4" t="str">
        <f>'[1]Test-Scenario'!B19</f>
        <v>Home Page</v>
      </c>
      <c r="C15" s="3" t="str">
        <f>'[1]Test-Scenario'!C19</f>
        <v>FRS</v>
      </c>
      <c r="D15" s="4" t="str">
        <f>'[1]Test-Scenario'!D19</f>
        <v>Verify the user can add compare from featured product section.</v>
      </c>
      <c r="E15" s="3" t="str">
        <f>'[1]Test-Scenario'!E19</f>
        <v>P3</v>
      </c>
      <c r="F15" s="4" t="s">
        <v>23</v>
      </c>
      <c r="G15" s="3">
        <f>COUNTIF('[1]Home Page'!$B$6:$B$38,A15&amp;" -*")</f>
        <v>4</v>
      </c>
      <c r="H15" s="3">
        <f>COUNTIFS('[1]Home Page'!$B$6:$B$38,A15&amp;" -*",'[1]Home Page'!$J$6:$J$38,"Pass")</f>
        <v>0</v>
      </c>
      <c r="I15" s="3">
        <f>COUNTIFS('[1]Home Page'!$B$6:$B$38,A15&amp;" -*",'[1]Home Page'!$J$6:$J$38,"Fail")</f>
        <v>0</v>
      </c>
      <c r="J15" s="3">
        <f>COUNTIFS('[1]Home Page'!$B$6:$B$38,A15&amp;" -*",'[1]Home Page'!$J$6:$J$38,"Not Executed")</f>
        <v>4</v>
      </c>
      <c r="K15" s="3" t="str">
        <f t="shared" si="0"/>
        <v>Ready to Execute</v>
      </c>
    </row>
    <row r="16" spans="1:11" ht="15" customHeight="1" x14ac:dyDescent="0.25">
      <c r="A16" s="3" t="str">
        <f>'[1]Test-Scenario'!A20</f>
        <v>TS_13</v>
      </c>
      <c r="B16" s="4" t="str">
        <f>'[1]Test-Scenario'!B20</f>
        <v>Home Page</v>
      </c>
      <c r="C16" s="3" t="str">
        <f>'[1]Test-Scenario'!C20</f>
        <v>FRS</v>
      </c>
      <c r="D16" s="4" t="str">
        <f>'[1]Test-Scenario'!D20</f>
        <v>Verify the working of Brand slider functionality.</v>
      </c>
      <c r="E16" s="3" t="str">
        <f>'[1]Test-Scenario'!E20</f>
        <v>P3</v>
      </c>
      <c r="F16" s="4" t="s">
        <v>24</v>
      </c>
      <c r="G16" s="3">
        <f>COUNTIF('[1]Home Page'!$B$6:$B$38,A16&amp;" -*")</f>
        <v>3</v>
      </c>
      <c r="H16" s="3">
        <f>COUNTIFS('[1]Home Page'!$B$6:$B$38,A16&amp;" -*",'[1]Home Page'!$J$6:$J$38,"Pass")</f>
        <v>0</v>
      </c>
      <c r="I16" s="3">
        <f>COUNTIFS('[1]Home Page'!$B$6:$B$38,A16&amp;" -*",'[1]Home Page'!$J$6:$J$38,"Fail")</f>
        <v>0</v>
      </c>
      <c r="J16" s="3">
        <f>COUNTIFS('[1]Home Page'!$B$6:$B$38,A16&amp;" -*",'[1]Home Page'!$J$6:$J$38,"Not Executed")</f>
        <v>3</v>
      </c>
      <c r="K16" s="3" t="str">
        <f t="shared" si="0"/>
        <v>Ready to Execute</v>
      </c>
    </row>
    <row r="17" spans="1:11" ht="15" customHeight="1" x14ac:dyDescent="0.25">
      <c r="A17" s="3" t="str">
        <f>'[1]Test-Scenario'!A21</f>
        <v>TS_14</v>
      </c>
      <c r="B17" s="4" t="str">
        <f>'[1]Test-Scenario'!B21</f>
        <v>Wishlist</v>
      </c>
      <c r="C17" s="3" t="str">
        <f>'[1]Test-Scenario'!C21</f>
        <v>FRS</v>
      </c>
      <c r="D17" s="4" t="str">
        <f>'[1]Test-Scenario'!D21</f>
        <v>Verify the working of wishlist functionality.</v>
      </c>
      <c r="E17" s="3" t="str">
        <f>'[1]Test-Scenario'!E21</f>
        <v>p2</v>
      </c>
      <c r="F17" s="4" t="s">
        <v>25</v>
      </c>
      <c r="G17" s="3">
        <f>COUNTIF([1]Wishlist!$B$6:$B$11,A17&amp;" -*")</f>
        <v>6</v>
      </c>
      <c r="H17" s="3">
        <f>COUNTIFS([1]Wishlist!$B$6:$B$11,A17&amp;" -*",[1]Wishlist!$J$6:$J$11,"Pass")</f>
        <v>0</v>
      </c>
      <c r="I17" s="3">
        <f>COUNTIFS([1]Wishlist!$B$6:$B$11,A17&amp;" -*",[1]Wishlist!$J$6:$J$11,"Fail")</f>
        <v>0</v>
      </c>
      <c r="J17" s="3">
        <f>COUNTIFS([1]Wishlist!$B$6:$B$11,A17&amp;" -*",[1]Wishlist!$J$6:$J$11,"Not Executed")</f>
        <v>6</v>
      </c>
      <c r="K17" s="3" t="str">
        <f t="shared" si="0"/>
        <v>Ready to Execute</v>
      </c>
    </row>
    <row r="18" spans="1:11" ht="30" customHeight="1" x14ac:dyDescent="0.25">
      <c r="A18" s="3" t="str">
        <f>'[1]Test-Scenario'!A22</f>
        <v>TS_15</v>
      </c>
      <c r="B18" s="4" t="str">
        <f>'[1]Test-Scenario'!B22</f>
        <v>Shopping Cart</v>
      </c>
      <c r="C18" s="3" t="str">
        <f>'[1]Test-Scenario'!C22</f>
        <v>FRS</v>
      </c>
      <c r="D18" s="4" t="str">
        <f>'[1]Test-Scenario'!D22</f>
        <v>Verify the working of shopping cart functionality.</v>
      </c>
      <c r="E18" s="3" t="str">
        <f>'[1]Test-Scenario'!E22</f>
        <v>P0</v>
      </c>
      <c r="F18" s="4" t="s">
        <v>26</v>
      </c>
      <c r="G18" s="3">
        <f>COUNTIF('[1]Shopping Cart'!$B$6:$B$13,A18&amp;" -*")</f>
        <v>8</v>
      </c>
      <c r="H18" s="3">
        <f>COUNTIFS('[1]Shopping Cart'!$B$6:$B$13,A18&amp;" -*",'[1]Shopping Cart'!$J$6:$J$13,"Pass")</f>
        <v>0</v>
      </c>
      <c r="I18" s="3">
        <f>COUNTIFS('[1]Shopping Cart'!$B$6:$B$13,A18&amp;" -*",'[1]Shopping Cart'!$J$6:$J$13,"Fail")</f>
        <v>0</v>
      </c>
      <c r="J18" s="3">
        <f>COUNTIFS('[1]Shopping Cart'!$B$6:$B$13,A18&amp;" -*",'[1]Shopping Cart'!$J$6:$J$13,"Not Executed")</f>
        <v>8</v>
      </c>
      <c r="K18" s="3" t="str">
        <f t="shared" si="0"/>
        <v>Ready to Execute</v>
      </c>
    </row>
    <row r="19" spans="1:11" ht="30" customHeight="1" x14ac:dyDescent="0.25">
      <c r="A19" s="3" t="str">
        <f>'[1]Test-Scenario'!A23</f>
        <v>TS_16</v>
      </c>
      <c r="B19" s="4" t="str">
        <f>'[1]Test-Scenario'!B23</f>
        <v>Checkout</v>
      </c>
      <c r="C19" s="3" t="str">
        <f>'[1]Test-Scenario'!C23</f>
        <v>FRS</v>
      </c>
      <c r="D19" s="4" t="str">
        <f>'[1]Test-Scenario'!D23</f>
        <v>Verufy the working of checkout functionality.</v>
      </c>
      <c r="E19" s="3" t="str">
        <f>'[1]Test-Scenario'!E23</f>
        <v>P0</v>
      </c>
      <c r="F19" s="4" t="s">
        <v>27</v>
      </c>
      <c r="G19" s="3">
        <f>COUNTIF([1]Checkout!$B$6:$B$18,A19&amp;" -*")</f>
        <v>13</v>
      </c>
      <c r="H19" s="3">
        <f>COUNTIFS([1]Checkout!$B$6:$B$18,A19&amp;" -*",[1]Checkout!$J$6:$J$18,"Pass")</f>
        <v>0</v>
      </c>
      <c r="I19" s="3">
        <f>COUNTIFS([1]Checkout!$B$6:$B$18,A19&amp;" -*",[1]Checkout!$J$6:$J$18,"Fail")</f>
        <v>0</v>
      </c>
      <c r="J19" s="3">
        <f>COUNTIFS([1]Checkout!$B$6:$B$18,A19&amp;" -*",[1]Checkout!$J$6:$J$18,"Not Executed")</f>
        <v>13</v>
      </c>
      <c r="K19" s="3" t="str">
        <f t="shared" si="0"/>
        <v>Ready to Execute</v>
      </c>
    </row>
    <row r="20" spans="1:11" ht="15" customHeight="1" x14ac:dyDescent="0.25">
      <c r="A20" s="3" t="str">
        <f>'[1]Test-Scenario'!A24</f>
        <v>TS_17</v>
      </c>
      <c r="B20" s="4" t="str">
        <f>'[1]Test-Scenario'!B24</f>
        <v>Account - My Account</v>
      </c>
      <c r="C20" s="3" t="str">
        <f>'[1]Test-Scenario'!C24</f>
        <v>FRS</v>
      </c>
      <c r="D20" s="4" t="str">
        <f>'[1]Test-Scenario'!D24</f>
        <v>Verify the working of My Account information functionality.</v>
      </c>
      <c r="E20" s="3" t="str">
        <f>'[1]Test-Scenario'!E24</f>
        <v>P3</v>
      </c>
      <c r="F20" s="4" t="s">
        <v>28</v>
      </c>
      <c r="G20" s="3">
        <f>COUNTIF('[1]Account - My Account'!$B$6:$B$23,A20&amp;" -*")</f>
        <v>4</v>
      </c>
      <c r="H20" s="3">
        <f>COUNTIFS('[1]Account - My Account'!$B$6:$B$23,A20&amp;" -*",'[1]Account - My Account'!$J$6:$J$23,"Pass")</f>
        <v>0</v>
      </c>
      <c r="I20" s="3">
        <f>COUNTIFS('[1]Account - My Account'!$B$6:$B$23,A20&amp;" -*",'[1]Account - My Account'!$J$6:$J$23,"Fail")</f>
        <v>0</v>
      </c>
      <c r="J20" s="3">
        <f>COUNTIFS('[1]Account - My Account'!$B$6:$B$23,A20&amp;" -*",'[1]Account - My Account'!$J$6:$J$23,"Not Executed")</f>
        <v>4</v>
      </c>
      <c r="K20" s="3" t="str">
        <f t="shared" si="0"/>
        <v>Ready to Execute</v>
      </c>
    </row>
    <row r="21" spans="1:11" ht="15" customHeight="1" x14ac:dyDescent="0.25">
      <c r="A21" s="3" t="str">
        <f>'[1]Test-Scenario'!A25</f>
        <v>TS_18</v>
      </c>
      <c r="B21" s="4" t="str">
        <f>'[1]Test-Scenario'!B25</f>
        <v>Account - My Account</v>
      </c>
      <c r="C21" s="3" t="str">
        <f>'[1]Test-Scenario'!C25</f>
        <v>FRS</v>
      </c>
      <c r="D21" s="4" t="str">
        <f>'[1]Test-Scenario'!D25</f>
        <v>Validate the working of change password functionality.</v>
      </c>
      <c r="E21" s="3" t="str">
        <f>'[1]Test-Scenario'!E25</f>
        <v>p4</v>
      </c>
      <c r="F21" s="4" t="s">
        <v>29</v>
      </c>
      <c r="G21" s="3">
        <f>COUNTIF('[1]Account - My Account'!$B$6:$B$23,A21&amp;" -*")</f>
        <v>5</v>
      </c>
      <c r="H21" s="3">
        <f>COUNTIFS('[1]Account - My Account'!$B$6:$B$23,A21&amp;" -*",'[1]Account - My Account'!$J$6:$J$23,"Pass")</f>
        <v>0</v>
      </c>
      <c r="I21" s="3">
        <f>COUNTIFS('[1]Account - My Account'!$B$6:$B$23,A21&amp;" -*",'[1]Account - My Account'!$J$6:$J$23,"Fail")</f>
        <v>0</v>
      </c>
      <c r="J21" s="3">
        <f>COUNTIFS('[1]Account - My Account'!$B$6:$B$23,A21&amp;" -*",'[1]Account - My Account'!$J$6:$J$23,"Not Executed")</f>
        <v>5</v>
      </c>
      <c r="K21" s="3" t="str">
        <f t="shared" si="0"/>
        <v>Ready to Execute</v>
      </c>
    </row>
    <row r="22" spans="1:11" ht="15" customHeight="1" x14ac:dyDescent="0.25">
      <c r="A22" s="3" t="str">
        <f>'[1]Test-Scenario'!A26</f>
        <v>TS_19</v>
      </c>
      <c r="B22" s="4" t="str">
        <f>'[1]Test-Scenario'!B26</f>
        <v>Account - My Account</v>
      </c>
      <c r="C22" s="3" t="str">
        <f>'[1]Test-Scenario'!C26</f>
        <v>FRS</v>
      </c>
      <c r="D22" s="4" t="str">
        <f>'[1]Test-Scenario'!D26</f>
        <v>Validate the working of modify your addresss book entries functionality</v>
      </c>
      <c r="E22" s="3" t="str">
        <f>'[1]Test-Scenario'!E26</f>
        <v>P1</v>
      </c>
      <c r="F22" s="4" t="s">
        <v>30</v>
      </c>
      <c r="G22" s="3">
        <f>COUNTIF('[1]Account - My Account'!$B$6:$B$23,A22&amp;" -*")</f>
        <v>6</v>
      </c>
      <c r="H22" s="3">
        <f>COUNTIFS('[1]Account - My Account'!$B$6:$B$23,A22&amp;" -*",'[1]Account - My Account'!$J$6:$J$23,"Pass")</f>
        <v>0</v>
      </c>
      <c r="I22" s="3">
        <f>COUNTIFS('[1]Account - My Account'!$B$6:$B$23,A22&amp;" -*",'[1]Account - My Account'!$J$6:$J$23,"Fail")</f>
        <v>0</v>
      </c>
      <c r="J22" s="3">
        <f>COUNTIFS('[1]Account - My Account'!$B$6:$B$23,A22&amp;" -*",'[1]Account - My Account'!$J$6:$J$23,"Not Executed")</f>
        <v>6</v>
      </c>
      <c r="K22" s="3" t="str">
        <f t="shared" si="0"/>
        <v>Ready to Execute</v>
      </c>
    </row>
    <row r="23" spans="1:11" ht="15" customHeight="1" x14ac:dyDescent="0.25">
      <c r="A23" s="3" t="str">
        <f>'[1]Test-Scenario'!A27</f>
        <v>TS_20</v>
      </c>
      <c r="B23" s="4" t="str">
        <f>'[1]Test-Scenario'!B27</f>
        <v>Account - My Account</v>
      </c>
      <c r="C23" s="3" t="str">
        <f>'[1]Test-Scenario'!C27</f>
        <v>FRS</v>
      </c>
      <c r="D23" s="4" t="str">
        <f>'[1]Test-Scenario'!D27</f>
        <v>Verify working of Modify your wish list functionality.</v>
      </c>
      <c r="E23" s="3" t="str">
        <f>'[1]Test-Scenario'!E27</f>
        <v>P4</v>
      </c>
      <c r="F23" s="4" t="s">
        <v>31</v>
      </c>
      <c r="G23" s="3">
        <f>COUNTIF('[1]Account - My Account'!$B$6:$B$23,A23&amp;" -*")</f>
        <v>3</v>
      </c>
      <c r="H23" s="3">
        <f>COUNTIFS('[1]Account - My Account'!$B$6:$B$23,A23&amp;" -*",'[1]Account - My Account'!$J$6:$J$23,"Pass")</f>
        <v>0</v>
      </c>
      <c r="I23" s="3">
        <f>COUNTIFS('[1]Account - My Account'!$B$6:$B$23,A23&amp;" -*",'[1]Account - My Account'!$J$6:$J$23,"Fail")</f>
        <v>0</v>
      </c>
      <c r="J23" s="3">
        <f>COUNTIFS('[1]Account - My Account'!$B$6:$B$23,A23&amp;" -*",'[1]Account - My Account'!$J$6:$J$23,"Not Executed")</f>
        <v>3</v>
      </c>
      <c r="K23" s="3" t="str">
        <f t="shared" si="0"/>
        <v>Ready to Execute</v>
      </c>
    </row>
    <row r="24" spans="1:11" ht="15" customHeight="1" x14ac:dyDescent="0.25">
      <c r="A24" s="3" t="str">
        <f>'[1]Test-Scenario'!A28</f>
        <v>TS_21</v>
      </c>
      <c r="B24" s="4" t="str">
        <f>'[1]Test-Scenario'!B28</f>
        <v>Account - My Order</v>
      </c>
      <c r="C24" s="3" t="str">
        <f>'[1]Test-Scenario'!C28</f>
        <v>FRS</v>
      </c>
      <c r="D24" s="4" t="str">
        <f>'[1]Test-Scenario'!D28</f>
        <v>Verify the working of view your order functionality.</v>
      </c>
      <c r="E24" s="3" t="str">
        <f>'[1]Test-Scenario'!E28</f>
        <v>P1</v>
      </c>
      <c r="F24" s="4" t="s">
        <v>32</v>
      </c>
      <c r="G24" s="3">
        <f>COUNTIF('[1]Account - My Order'!$B$6:$B$21,A24&amp;" -*")</f>
        <v>3</v>
      </c>
      <c r="H24" s="3">
        <f>COUNTIFS('[1]Account - My Order'!$B$6:$B$21,A24&amp;" -*",'[1]Account - My Order'!$J$6:$J$21,"Pass")</f>
        <v>0</v>
      </c>
      <c r="I24" s="3">
        <f>COUNTIFS('[1]Account - My Order'!$B$6:$B$21,A24&amp;" -*",'[1]Account - My Order'!$J$6:$J$21,"Fail")</f>
        <v>0</v>
      </c>
      <c r="J24" s="3">
        <f>COUNTIFS('[1]Account - My Order'!$B$6:$B$21,A24&amp;" -*",'[1]Account - My Order'!$J$6:$J$21,"Not Executed")</f>
        <v>3</v>
      </c>
      <c r="K24" s="3" t="str">
        <f t="shared" si="0"/>
        <v>Ready to Execute</v>
      </c>
    </row>
    <row r="25" spans="1:11" ht="15" customHeight="1" x14ac:dyDescent="0.25">
      <c r="A25" s="3" t="str">
        <f>'[1]Test-Scenario'!A29</f>
        <v>TS_22</v>
      </c>
      <c r="B25" s="4" t="str">
        <f>'[1]Test-Scenario'!B29</f>
        <v>Account - My Order</v>
      </c>
      <c r="C25" s="3" t="str">
        <f>'[1]Test-Scenario'!C29</f>
        <v>FRS</v>
      </c>
      <c r="D25" s="4" t="str">
        <f>'[1]Test-Scenario'!D29</f>
        <v>Verify the working of subscription functionality.</v>
      </c>
      <c r="E25" s="3" t="str">
        <f>'[1]Test-Scenario'!E29</f>
        <v>P4</v>
      </c>
      <c r="F25" s="4" t="s">
        <v>33</v>
      </c>
      <c r="G25" s="3">
        <f>COUNTIF('[1]Account - My Order'!$B$6:$B$21,A25&amp;" -*")</f>
        <v>3</v>
      </c>
      <c r="H25" s="3">
        <f>COUNTIFS('[1]Account - My Order'!$B$6:$B$21,A25&amp;" -*",'[1]Account - My Order'!$J$6:$J$21,"Pass")</f>
        <v>0</v>
      </c>
      <c r="I25" s="3">
        <f>COUNTIFS('[1]Account - My Order'!$B$6:$B$21,A25&amp;" -*",'[1]Account - My Order'!$J$6:$J$21,"Fail")</f>
        <v>0</v>
      </c>
      <c r="J25" s="3">
        <f>COUNTIFS('[1]Account - My Order'!$B$6:$B$21,A25&amp;" -*",'[1]Account - My Order'!$J$6:$J$21,"Not Executed")</f>
        <v>3</v>
      </c>
      <c r="K25" s="3" t="str">
        <f t="shared" si="0"/>
        <v>Ready to Execute</v>
      </c>
    </row>
    <row r="26" spans="1:11" ht="15" customHeight="1" x14ac:dyDescent="0.25">
      <c r="A26" s="3" t="str">
        <f>'[1]Test-Scenario'!A30</f>
        <v>TS_23</v>
      </c>
      <c r="B26" s="4" t="str">
        <f>'[1]Test-Scenario'!B30</f>
        <v>Account - My Order</v>
      </c>
      <c r="C26" s="3" t="str">
        <f>'[1]Test-Scenario'!C30</f>
        <v>FRS</v>
      </c>
      <c r="D26" s="4" t="str">
        <f>'[1]Test-Scenario'!D30</f>
        <v>Verify the working of Downloads functionality.</v>
      </c>
      <c r="E26" s="3" t="str">
        <f>'[1]Test-Scenario'!E30</f>
        <v>P4</v>
      </c>
      <c r="F26" s="4" t="s">
        <v>34</v>
      </c>
      <c r="G26" s="3">
        <f>COUNTIF('[1]Account - My Order'!$B$6:$B$21,A26&amp;" -*")</f>
        <v>3</v>
      </c>
      <c r="H26" s="3">
        <f>COUNTIFS('[1]Account - My Order'!$B$6:$B$21,A26&amp;" -*",'[1]Account - My Order'!$J$6:$J$21,"Pass")</f>
        <v>0</v>
      </c>
      <c r="I26" s="3">
        <f>COUNTIFS('[1]Account - My Order'!$B$6:$B$21,A26&amp;" -*",'[1]Account - My Order'!$J$6:$J$21,"Fail")</f>
        <v>0</v>
      </c>
      <c r="J26" s="3">
        <f>COUNTIFS('[1]Account - My Order'!$B$6:$B$21,A26&amp;" -*",'[1]Account - My Order'!$J$6:$J$21,"Not Executed")</f>
        <v>3</v>
      </c>
      <c r="K26" s="3" t="str">
        <f t="shared" si="0"/>
        <v>Ready to Execute</v>
      </c>
    </row>
    <row r="27" spans="1:11" ht="15" customHeight="1" x14ac:dyDescent="0.25">
      <c r="A27" s="3" t="str">
        <f>'[1]Test-Scenario'!A31</f>
        <v>TS_24</v>
      </c>
      <c r="B27" s="4" t="str">
        <f>'[1]Test-Scenario'!B31</f>
        <v>Account - My Order</v>
      </c>
      <c r="C27" s="3" t="str">
        <f>'[1]Test-Scenario'!C31</f>
        <v>FRS</v>
      </c>
      <c r="D27" s="4" t="str">
        <f>'[1]Test-Scenario'!D31</f>
        <v>Verify the working of Your reward points functionality.</v>
      </c>
      <c r="E27" s="3" t="str">
        <f>'[1]Test-Scenario'!E31</f>
        <v>P1</v>
      </c>
      <c r="F27" s="4" t="s">
        <v>35</v>
      </c>
      <c r="G27" s="3">
        <f>COUNTIF('[1]Account - My Order'!$B$6:$B$21,A27&amp;" -*")</f>
        <v>4</v>
      </c>
      <c r="H27" s="3">
        <f>COUNTIFS('[1]Account - My Order'!$B$6:$B$21,A27&amp;" -*",'[1]Account - My Order'!$J$6:$J$21,"Pass")</f>
        <v>0</v>
      </c>
      <c r="I27" s="3">
        <f>COUNTIFS('[1]Account - My Order'!$B$6:$B$21,A27&amp;" -*",'[1]Account - My Order'!$J$6:$J$21,"Fail")</f>
        <v>0</v>
      </c>
      <c r="J27" s="3">
        <f>COUNTIFS('[1]Account - My Order'!$B$6:$B$21,A27&amp;" -*",'[1]Account - My Order'!$J$6:$J$21,"Not Executed")</f>
        <v>4</v>
      </c>
      <c r="K27" s="3" t="str">
        <f t="shared" si="0"/>
        <v>Ready to Execute</v>
      </c>
    </row>
    <row r="28" spans="1:11" ht="15" customHeight="1" x14ac:dyDescent="0.25">
      <c r="A28" s="3" t="str">
        <f>'[1]Test-Scenario'!A32</f>
        <v>TS_25</v>
      </c>
      <c r="B28" s="4" t="str">
        <f>'[1]Test-Scenario'!B32</f>
        <v>Account - My Order</v>
      </c>
      <c r="C28" s="3" t="str">
        <f>'[1]Test-Scenario'!C32</f>
        <v>FRS</v>
      </c>
      <c r="D28" s="4" t="str">
        <f>'[1]Test-Scenario'!D32</f>
        <v>Verify the working of Your Transactions functionality.</v>
      </c>
      <c r="E28" s="3" t="str">
        <f>'[1]Test-Scenario'!E32</f>
        <v>P1</v>
      </c>
      <c r="F28" s="4" t="s">
        <v>36</v>
      </c>
      <c r="G28" s="3">
        <f>COUNTIF('[1]Account - My Order'!$B$6:$B$21,A28&amp;" -*")</f>
        <v>3</v>
      </c>
      <c r="H28" s="3">
        <f>COUNTIFS('[1]Account - My Order'!$B$6:$B$21,A28&amp;" -*",'[1]Account - My Order'!$J$6:$J$21,"Pass")</f>
        <v>0</v>
      </c>
      <c r="I28" s="3">
        <f>COUNTIFS('[1]Account - My Order'!$B$6:$B$21,A28&amp;" -*",'[1]Account - My Order'!$J$6:$J$21,"Fail")</f>
        <v>0</v>
      </c>
      <c r="J28" s="3">
        <f>COUNTIFS('[1]Account - My Order'!$B$6:$B$21,A28&amp;" -*",'[1]Account - My Order'!$J$6:$J$21,"Not Executed")</f>
        <v>3</v>
      </c>
      <c r="K28" s="3" t="str">
        <f t="shared" si="0"/>
        <v>Ready to Execute</v>
      </c>
    </row>
    <row r="29" spans="1:11" ht="15" customHeight="1" x14ac:dyDescent="0.25">
      <c r="A29" s="3" t="str">
        <f>'[1]Test-Scenario'!A33</f>
        <v>TS_26</v>
      </c>
      <c r="B29" s="4" t="str">
        <f>'[1]Test-Scenario'!B33</f>
        <v>Account - My Affiliate</v>
      </c>
      <c r="C29" s="3" t="str">
        <f>'[1]Test-Scenario'!C33</f>
        <v>FRS</v>
      </c>
      <c r="D29" s="4" t="str">
        <f>'[1]Test-Scenario'!D33</f>
        <v>Verify the working of Register for an affiliate account functionality.</v>
      </c>
      <c r="E29" s="3" t="str">
        <f>'[1]Test-Scenario'!E33</f>
        <v>P0</v>
      </c>
      <c r="F29" s="4" t="s">
        <v>37</v>
      </c>
      <c r="G29" s="3">
        <f>COUNTIF('[1]Account - My Affiliate'!$B$6:$B$10,A29&amp;" -*")</f>
        <v>5</v>
      </c>
      <c r="H29" s="3">
        <f>COUNTIFS('[1]Account - My Affiliate'!$B$6:$B$10,A29&amp;" -*",'[1]Account - My Affiliate'!$J$6:$J$10,"Pass")</f>
        <v>0</v>
      </c>
      <c r="I29" s="3">
        <f>COUNTIFS('[1]Account - My Affiliate'!$B$6:$B$10,A29&amp;" -*",'[1]Account - My Affiliate'!$J$6:$J$10,"Fail")</f>
        <v>0</v>
      </c>
      <c r="J29" s="3">
        <f>COUNTIFS('[1]Account - My Affiliate'!$B$6:$B$10,A29&amp;" -*",'[1]Account - My Affiliate'!$J$6:$J$10,"Not Executed")</f>
        <v>5</v>
      </c>
      <c r="K29" s="3" t="str">
        <f t="shared" si="0"/>
        <v>Ready to Execute</v>
      </c>
    </row>
    <row r="30" spans="1:11" ht="15" customHeight="1" x14ac:dyDescent="0.25">
      <c r="A30" s="3" t="str">
        <f>'[1]Test-Scenario'!A34</f>
        <v>TS_27</v>
      </c>
      <c r="B30" s="4" t="str">
        <f>'[1]Test-Scenario'!B34</f>
        <v>Account - Newsletter</v>
      </c>
      <c r="C30" s="3" t="str">
        <f>'[1]Test-Scenario'!C34</f>
        <v>FRS</v>
      </c>
      <c r="D30" s="4" t="str">
        <f>'[1]Test-Scenario'!D34</f>
        <v>Verify the working of Subscribe functionality.</v>
      </c>
      <c r="E30" s="3" t="str">
        <f>'[1]Test-Scenario'!E34</f>
        <v>P2</v>
      </c>
      <c r="F30" s="4" t="s">
        <v>38</v>
      </c>
      <c r="G30" s="3">
        <f>COUNTIF('[1]Account - Newsletter'!$B$6:$B$11,A30&amp;" -*")</f>
        <v>3</v>
      </c>
      <c r="H30" s="3">
        <f>COUNTIFS('[1]Account - Newsletter'!$B$6:$B$11,A30&amp;" -*",'[1]Account - Newsletter'!$J$6:$J$11,"Pass")</f>
        <v>0</v>
      </c>
      <c r="I30" s="3">
        <f>COUNTIFS('[1]Account - Newsletter'!$B$6:$B$11,A30&amp;" -*",'[1]Account - Newsletter'!$J$6:$J$11,"Fail")</f>
        <v>0</v>
      </c>
      <c r="J30" s="3">
        <f>COUNTIFS('[1]Account - Newsletter'!$B$6:$B$11,A30&amp;" -*",'[1]Account - Newsletter'!$J$6:$J$11,"Not Executed")</f>
        <v>3</v>
      </c>
      <c r="K30" s="3" t="str">
        <f t="shared" si="0"/>
        <v>Ready to Execute</v>
      </c>
    </row>
    <row r="31" spans="1:11" ht="15" customHeight="1" x14ac:dyDescent="0.25">
      <c r="A31" s="3" t="str">
        <f>'[1]Test-Scenario'!A35</f>
        <v>TS_28</v>
      </c>
      <c r="B31" s="4" t="str">
        <f>'[1]Test-Scenario'!B35</f>
        <v>Account - Newsletter</v>
      </c>
      <c r="C31" s="3" t="str">
        <f>'[1]Test-Scenario'!C35</f>
        <v>FRS</v>
      </c>
      <c r="D31" s="4" t="str">
        <f>'[1]Test-Scenario'!D35</f>
        <v>Verify the working of Unsubscribe functionality.</v>
      </c>
      <c r="E31" s="3" t="str">
        <f>'[1]Test-Scenario'!E35</f>
        <v>P4</v>
      </c>
      <c r="F31" s="4" t="s">
        <v>39</v>
      </c>
      <c r="G31" s="3">
        <f>COUNTIF('[1]Account - Newsletter'!$B$6:$B$11,A31&amp;" -*")</f>
        <v>3</v>
      </c>
      <c r="H31" s="3">
        <f>COUNTIFS('[1]Account - Newsletter'!$B$6:$B$11,A31&amp;" -*",'[1]Account - Newsletter'!$J$6:$J$11,"Pass")</f>
        <v>0</v>
      </c>
      <c r="I31" s="3">
        <f>COUNTIFS('[1]Account - Newsletter'!$B$6:$B$11,A31&amp;" -*",'[1]Account - Newsletter'!$J$6:$J$11,"Fail")</f>
        <v>0</v>
      </c>
      <c r="J31" s="3">
        <f>COUNTIFS('[1]Account - Newsletter'!$B$6:$B$11,A31&amp;" -*",'[1]Account - Newsletter'!$J$6:$J$11,"Not Executed")</f>
        <v>3</v>
      </c>
      <c r="K31" s="3" t="str">
        <f t="shared" si="0"/>
        <v>Ready to Execute</v>
      </c>
    </row>
    <row r="32" spans="1:11" ht="15" customHeight="1" x14ac:dyDescent="0.25">
      <c r="A32" s="3" t="str">
        <f>'[1]Test-Scenario'!A36</f>
        <v>TS_29</v>
      </c>
      <c r="B32" s="4" t="str">
        <f>'[1]Test-Scenario'!B36</f>
        <v>Customer Service</v>
      </c>
      <c r="C32" s="3" t="str">
        <f>'[1]Test-Scenario'!C36</f>
        <v>FRS</v>
      </c>
      <c r="D32" s="4" t="str">
        <f>'[1]Test-Scenario'!D36</f>
        <v>Verify the working of Contact us page functionality under footer.</v>
      </c>
      <c r="E32" s="3" t="str">
        <f>'[1]Test-Scenario'!E36</f>
        <v>P2</v>
      </c>
      <c r="F32" s="4" t="s">
        <v>40</v>
      </c>
      <c r="G32" s="3">
        <f>COUNTIF('[1]Customer Service'!$B$6:$B$11,A32&amp;" -*")</f>
        <v>6</v>
      </c>
      <c r="H32" s="3">
        <f>COUNTIFS('[1]Customer Service'!$B$6:$B$11,A32&amp;" -*",'[1]Customer Service'!$J$6:$J$11,"Pass")</f>
        <v>0</v>
      </c>
      <c r="I32" s="3">
        <f>COUNTIFS('[1]Customer Service'!$B$6:$B$11,A32&amp;" -*",'[1]Customer Service'!$J$6:$J$11,"Fail")</f>
        <v>0</v>
      </c>
      <c r="J32" s="3">
        <f>COUNTIFS('[1]Customer Service'!$B$6:$B$11,A32&amp;" -*",'[1]Customer Service'!$J$6:$J$11,"Not Executed")</f>
        <v>6</v>
      </c>
      <c r="K32" s="3" t="str">
        <f t="shared" si="0"/>
        <v>Ready to Execute</v>
      </c>
    </row>
  </sheetData>
  <conditionalFormatting sqref="K4:K32">
    <cfRule type="cellIs" dxfId="3" priority="1" operator="equal">
      <formula>"Passed"</formula>
    </cfRule>
    <cfRule type="cellIs" dxfId="2" priority="2" operator="equal">
      <formula>"Failing"</formula>
    </cfRule>
    <cfRule type="cellIs" dxfId="1" priority="3" operator="equal">
      <formula>"Not Covered"</formula>
    </cfRule>
    <cfRule type="cellIs" dxfId="0" priority="4" operator="equal">
      <formula>"In Progress"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Ghanshyam Sharma</dc:creator>
  <cp:lastModifiedBy>Ghanshyam Sharma</cp:lastModifiedBy>
  <dcterms:created xsi:type="dcterms:W3CDTF">2026-10-23T12:50:44Z</dcterms:created>
  <dcterms:modified xsi:type="dcterms:W3CDTF">2026-10-23T16:11:14Z</dcterms:modified>
</cp:coreProperties>
</file>